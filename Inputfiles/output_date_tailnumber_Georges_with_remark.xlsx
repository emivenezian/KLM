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KLM92659\Documents\"/>
    </mc:Choice>
  </mc:AlternateContent>
  <xr:revisionPtr revIDLastSave="0" documentId="8_{36301E5A-3AE9-451E-8AEC-21362C4B3E4B}" xr6:coauthVersionLast="47" xr6:coauthVersionMax="47" xr10:uidLastSave="{00000000-0000-0000-0000-000000000000}"/>
  <bookViews>
    <workbookView xWindow="28680" yWindow="-1950" windowWidth="29040" windowHeight="176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Sheet1!$A$1:$D$139</definedName>
    <definedName name="_xlnm._FilterDatabase" localSheetId="1" hidden="1">Sheet2!$A$1:$I$391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31" i="1"/>
  <c r="C129" i="1"/>
  <c r="C120" i="1"/>
  <c r="C114" i="1"/>
  <c r="C112" i="1"/>
  <c r="C107" i="1"/>
  <c r="C102" i="1"/>
  <c r="C99" i="1"/>
  <c r="C95" i="1"/>
  <c r="C25" i="1"/>
  <c r="C24" i="1"/>
  <c r="C22" i="1"/>
  <c r="C19" i="1"/>
  <c r="C16" i="1"/>
  <c r="C14" i="1"/>
  <c r="C11" i="1"/>
  <c r="C10" i="1"/>
  <c r="C6" i="1"/>
  <c r="C4" i="1"/>
  <c r="C91" i="1"/>
  <c r="C80" i="1"/>
  <c r="C74" i="1"/>
  <c r="C70" i="1"/>
  <c r="C67" i="1"/>
  <c r="C65" i="1"/>
  <c r="C63" i="1"/>
  <c r="C61" i="1"/>
  <c r="C58" i="1"/>
  <c r="C55" i="1"/>
  <c r="C48" i="1"/>
  <c r="C46" i="1"/>
  <c r="C42" i="1"/>
  <c r="C128" i="1"/>
  <c r="C123" i="1"/>
  <c r="C119" i="1"/>
  <c r="C117" i="1"/>
  <c r="C115" i="1"/>
  <c r="C104" i="1"/>
  <c r="C101" i="1"/>
  <c r="C98" i="1"/>
  <c r="C96" i="1"/>
  <c r="C41" i="1"/>
  <c r="C39" i="1"/>
  <c r="C37" i="1"/>
  <c r="C36" i="1"/>
  <c r="C33" i="1"/>
  <c r="C30" i="1"/>
  <c r="C27" i="1"/>
  <c r="C21" i="1"/>
  <c r="C20" i="1"/>
  <c r="C18" i="1"/>
  <c r="C13" i="1"/>
  <c r="C3" i="1"/>
  <c r="C90" i="1"/>
  <c r="C88" i="1"/>
  <c r="C86" i="1"/>
  <c r="C84" i="1"/>
  <c r="C83" i="1"/>
  <c r="C79" i="1"/>
  <c r="C76" i="1"/>
  <c r="C71" i="1"/>
  <c r="C69" i="1"/>
  <c r="C62" i="1"/>
  <c r="C57" i="1"/>
  <c r="C54" i="1"/>
  <c r="C51" i="1"/>
  <c r="C47" i="1"/>
  <c r="C139" i="1"/>
  <c r="C138" i="1"/>
  <c r="C133" i="1"/>
  <c r="C130" i="1"/>
  <c r="C127" i="1"/>
  <c r="C126" i="1"/>
  <c r="C125" i="1"/>
  <c r="C122" i="1"/>
  <c r="C118" i="1"/>
  <c r="C111" i="1"/>
  <c r="C110" i="1"/>
  <c r="C109" i="1"/>
  <c r="C106" i="1"/>
  <c r="C100" i="1"/>
  <c r="C94" i="1"/>
  <c r="C38" i="1"/>
  <c r="C35" i="1"/>
  <c r="C32" i="1"/>
  <c r="C29" i="1"/>
  <c r="C26" i="1"/>
  <c r="C23" i="1"/>
  <c r="C17" i="1"/>
  <c r="C15" i="1"/>
  <c r="C9" i="1"/>
  <c r="C8" i="1"/>
  <c r="C2" i="1"/>
  <c r="C87" i="1"/>
  <c r="C85" i="1"/>
  <c r="C82" i="1"/>
  <c r="C78" i="1"/>
  <c r="C75" i="1"/>
  <c r="C72" i="1"/>
  <c r="C66" i="1"/>
  <c r="C59" i="1"/>
  <c r="C56" i="1"/>
  <c r="C53" i="1"/>
  <c r="C50" i="1"/>
  <c r="C44" i="1"/>
  <c r="C137" i="1"/>
  <c r="C136" i="1"/>
  <c r="C135" i="1"/>
  <c r="C134" i="1"/>
  <c r="C132" i="1"/>
  <c r="C124" i="1"/>
  <c r="C121" i="1"/>
  <c r="C116" i="1"/>
  <c r="C113" i="1"/>
  <c r="C108" i="1"/>
  <c r="C105" i="1"/>
  <c r="C103" i="1"/>
  <c r="C97" i="1"/>
  <c r="C93" i="1"/>
  <c r="C40" i="1"/>
  <c r="C34" i="1"/>
  <c r="C31" i="1"/>
  <c r="C28" i="1"/>
  <c r="C12" i="1"/>
  <c r="C7" i="1"/>
  <c r="C5" i="1"/>
  <c r="C92" i="1"/>
  <c r="C89" i="1"/>
  <c r="C81" i="1"/>
  <c r="C77" i="1"/>
  <c r="C73" i="1"/>
  <c r="C68" i="1"/>
  <c r="C64" i="1"/>
  <c r="C60" i="1"/>
  <c r="C52" i="1"/>
  <c r="C49" i="1"/>
  <c r="C45" i="1"/>
  <c r="C43" i="1"/>
  <c r="H353" i="2"/>
  <c r="I353" i="2" s="1"/>
  <c r="H53" i="2"/>
  <c r="I53" i="2" s="1"/>
  <c r="H367" i="2"/>
  <c r="I367" i="2" s="1"/>
  <c r="H157" i="2"/>
  <c r="I157" i="2" s="1"/>
  <c r="H128" i="2"/>
  <c r="I128" i="2" s="1"/>
  <c r="H382" i="2"/>
  <c r="I382" i="2" s="1"/>
  <c r="H29" i="2"/>
  <c r="I29" i="2" s="1"/>
  <c r="H307" i="2"/>
  <c r="I307" i="2" s="1"/>
  <c r="H315" i="2"/>
  <c r="I315" i="2" s="1"/>
  <c r="H183" i="2"/>
  <c r="I183" i="2" s="1"/>
  <c r="H173" i="2"/>
  <c r="I173" i="2" s="1"/>
  <c r="H212" i="2"/>
  <c r="I212" i="2" s="1"/>
  <c r="H244" i="2"/>
  <c r="I244" i="2" s="1"/>
  <c r="H152" i="2"/>
  <c r="I152" i="2" s="1"/>
  <c r="H143" i="2"/>
  <c r="I143" i="2" s="1"/>
  <c r="H123" i="2"/>
  <c r="I123" i="2" s="1"/>
  <c r="H57" i="2"/>
  <c r="I57" i="2" s="1"/>
  <c r="H40" i="2"/>
  <c r="I40" i="2" s="1"/>
  <c r="H7" i="2"/>
  <c r="I7" i="2" s="1"/>
  <c r="H344" i="2"/>
  <c r="I344" i="2" s="1"/>
  <c r="H372" i="2"/>
  <c r="I372" i="2" s="1"/>
  <c r="H237" i="2"/>
  <c r="I237" i="2" s="1"/>
  <c r="H327" i="2"/>
  <c r="I327" i="2" s="1"/>
  <c r="H77" i="2"/>
  <c r="I77" i="2" s="1"/>
  <c r="H387" i="2"/>
  <c r="I387" i="2" s="1"/>
  <c r="H230" i="2"/>
  <c r="I230" i="2" s="1"/>
  <c r="H122" i="2"/>
  <c r="I122" i="2" s="1"/>
  <c r="H287" i="2"/>
  <c r="I287" i="2" s="1"/>
  <c r="H192" i="2"/>
  <c r="I192" i="2" s="1"/>
  <c r="H110" i="2"/>
  <c r="I110" i="2" s="1"/>
  <c r="H286" i="2"/>
  <c r="I286" i="2" s="1"/>
  <c r="H337" i="2"/>
  <c r="I337" i="2" s="1"/>
  <c r="H236" i="2"/>
  <c r="I236" i="2" s="1"/>
  <c r="H172" i="2"/>
  <c r="I172" i="2" s="1"/>
  <c r="H11" i="2"/>
  <c r="I11" i="2" s="1"/>
  <c r="H278" i="2"/>
  <c r="I278" i="2" s="1"/>
  <c r="H221" i="2"/>
  <c r="I221" i="2" s="1"/>
  <c r="H6" i="2"/>
  <c r="I6" i="2" s="1"/>
  <c r="H341" i="2"/>
  <c r="I341" i="2" s="1"/>
  <c r="H306" i="2"/>
  <c r="I306" i="2" s="1"/>
  <c r="H97" i="2"/>
  <c r="I97" i="2" s="1"/>
  <c r="H84" i="2"/>
  <c r="I84" i="2" s="1"/>
  <c r="H18" i="2"/>
  <c r="I18" i="2" s="1"/>
  <c r="H322" i="2"/>
  <c r="I322" i="2" s="1"/>
  <c r="H265" i="2"/>
  <c r="I265" i="2" s="1"/>
  <c r="H229" i="2"/>
  <c r="I229" i="2" s="1"/>
  <c r="H211" i="2"/>
  <c r="I211" i="2" s="1"/>
  <c r="H121" i="2"/>
  <c r="I121" i="2" s="1"/>
  <c r="H17" i="2"/>
  <c r="I17" i="2" s="1"/>
  <c r="H137" i="2"/>
  <c r="I137" i="2" s="1"/>
  <c r="H198" i="2"/>
  <c r="I198" i="2" s="1"/>
  <c r="H264" i="2"/>
  <c r="I264" i="2" s="1"/>
  <c r="H177" i="2"/>
  <c r="I177" i="2" s="1"/>
  <c r="H340" i="2"/>
  <c r="I340" i="2" s="1"/>
  <c r="H330" i="2"/>
  <c r="I330" i="2" s="1"/>
  <c r="H243" i="2"/>
  <c r="I243" i="2" s="1"/>
  <c r="H191" i="2"/>
  <c r="I191" i="2" s="1"/>
  <c r="H151" i="2"/>
  <c r="I151" i="2" s="1"/>
  <c r="H329" i="2"/>
  <c r="I329" i="2" s="1"/>
  <c r="H277" i="2"/>
  <c r="I277" i="2" s="1"/>
  <c r="H242" i="2"/>
  <c r="I242" i="2" s="1"/>
  <c r="H89" i="2"/>
  <c r="I89" i="2" s="1"/>
  <c r="H205" i="2"/>
  <c r="I205" i="2" s="1"/>
  <c r="H147" i="2"/>
  <c r="I147" i="2" s="1"/>
  <c r="H70" i="2"/>
  <c r="I70" i="2" s="1"/>
  <c r="H52" i="2"/>
  <c r="I52" i="2" s="1"/>
  <c r="H3" i="2"/>
  <c r="I3" i="2" s="1"/>
  <c r="H386" i="2"/>
  <c r="I386" i="2" s="1"/>
  <c r="H284" i="2"/>
  <c r="I284" i="2" s="1"/>
  <c r="H16" i="2"/>
  <c r="I16" i="2" s="1"/>
  <c r="H235" i="2"/>
  <c r="I235" i="2" s="1"/>
  <c r="H171" i="2"/>
  <c r="I171" i="2" s="1"/>
  <c r="H170" i="2"/>
  <c r="I170" i="2" s="1"/>
  <c r="H37" i="2"/>
  <c r="I37" i="2" s="1"/>
  <c r="H61" i="2"/>
  <c r="I61" i="2" s="1"/>
  <c r="H260" i="2"/>
  <c r="I260" i="2" s="1"/>
  <c r="H64" i="2"/>
  <c r="I64" i="2" s="1"/>
  <c r="H51" i="2"/>
  <c r="I51" i="2" s="1"/>
  <c r="H228" i="2"/>
  <c r="I228" i="2" s="1"/>
  <c r="H352" i="2"/>
  <c r="I352" i="2" s="1"/>
  <c r="H73" i="2"/>
  <c r="I73" i="2" s="1"/>
  <c r="H339" i="2"/>
  <c r="I339" i="2" s="1"/>
  <c r="H81" i="2"/>
  <c r="I81" i="2" s="1"/>
  <c r="H283" i="2"/>
  <c r="I283" i="2" s="1"/>
  <c r="H127" i="2"/>
  <c r="I127" i="2" s="1"/>
  <c r="H2" i="2"/>
  <c r="I2" i="2" s="1"/>
  <c r="H46" i="2"/>
  <c r="I46" i="2" s="1"/>
  <c r="H234" i="2"/>
  <c r="I234" i="2" s="1"/>
  <c r="H290" i="2"/>
  <c r="I290" i="2" s="1"/>
  <c r="H241" i="2"/>
  <c r="I241" i="2" s="1"/>
  <c r="H120" i="2"/>
  <c r="I120" i="2" s="1"/>
  <c r="H39" i="2"/>
  <c r="I39" i="2" s="1"/>
  <c r="H15" i="2"/>
  <c r="I15" i="2" s="1"/>
  <c r="H146" i="2"/>
  <c r="I146" i="2" s="1"/>
  <c r="H252" i="2"/>
  <c r="I252" i="2" s="1"/>
  <c r="H24" i="2"/>
  <c r="I24" i="2" s="1"/>
  <c r="H142" i="2"/>
  <c r="I142" i="2" s="1"/>
  <c r="H104" i="2"/>
  <c r="I104" i="2" s="1"/>
  <c r="H66" i="2"/>
  <c r="I66" i="2" s="1"/>
  <c r="H385" i="2"/>
  <c r="I385" i="2" s="1"/>
  <c r="H351" i="2"/>
  <c r="I351" i="2" s="1"/>
  <c r="H282" i="2"/>
  <c r="I282" i="2" s="1"/>
  <c r="H263" i="2"/>
  <c r="I263" i="2" s="1"/>
  <c r="H210" i="2"/>
  <c r="I210" i="2" s="1"/>
  <c r="H83" i="2"/>
  <c r="I83" i="2" s="1"/>
  <c r="H56" i="2"/>
  <c r="I56" i="2" s="1"/>
  <c r="H72" i="2"/>
  <c r="I72" i="2" s="1"/>
  <c r="H272" i="2"/>
  <c r="I272" i="2" s="1"/>
  <c r="H216" i="2"/>
  <c r="I216" i="2" s="1"/>
  <c r="H276" i="2"/>
  <c r="I276" i="2" s="1"/>
  <c r="H36" i="2"/>
  <c r="I36" i="2" s="1"/>
  <c r="H371" i="2"/>
  <c r="I371" i="2" s="1"/>
  <c r="H259" i="2"/>
  <c r="I259" i="2" s="1"/>
  <c r="H136" i="2"/>
  <c r="I136" i="2" s="1"/>
  <c r="H118" i="2"/>
  <c r="I118" i="2" s="1"/>
  <c r="H285" i="2"/>
  <c r="I285" i="2" s="1"/>
  <c r="H94" i="2"/>
  <c r="I94" i="2" s="1"/>
  <c r="H60" i="2"/>
  <c r="I60" i="2" s="1"/>
  <c r="H343" i="2"/>
  <c r="I343" i="2" s="1"/>
  <c r="H45" i="2"/>
  <c r="I45" i="2" s="1"/>
  <c r="H363" i="2"/>
  <c r="I363" i="2" s="1"/>
  <c r="H312" i="2"/>
  <c r="I312" i="2" s="1"/>
  <c r="H38" i="2"/>
  <c r="I38" i="2" s="1"/>
  <c r="H14" i="2"/>
  <c r="I14" i="2" s="1"/>
  <c r="H209" i="2"/>
  <c r="I209" i="2" s="1"/>
  <c r="H190" i="2"/>
  <c r="I190" i="2" s="1"/>
  <c r="H96" i="2"/>
  <c r="I96" i="2" s="1"/>
  <c r="H305" i="2"/>
  <c r="I305" i="2" s="1"/>
  <c r="H227" i="2"/>
  <c r="I227" i="2" s="1"/>
  <c r="H113" i="2"/>
  <c r="I113" i="2" s="1"/>
  <c r="H32" i="2"/>
  <c r="I32" i="2" s="1"/>
  <c r="H326" i="2"/>
  <c r="I326" i="2" s="1"/>
  <c r="H299" i="2"/>
  <c r="I299" i="2" s="1"/>
  <c r="H126" i="2"/>
  <c r="I126" i="2" s="1"/>
  <c r="H44" i="2"/>
  <c r="I44" i="2" s="1"/>
  <c r="H92" i="2"/>
  <c r="I92" i="2" s="1"/>
  <c r="H370" i="2"/>
  <c r="I370" i="2" s="1"/>
  <c r="H50" i="2"/>
  <c r="I50" i="2" s="1"/>
  <c r="H162" i="2"/>
  <c r="I162" i="2" s="1"/>
  <c r="H101" i="2"/>
  <c r="I101" i="2" s="1"/>
  <c r="H28" i="2"/>
  <c r="I28" i="2" s="1"/>
  <c r="H233" i="2"/>
  <c r="I233" i="2" s="1"/>
  <c r="H106" i="2"/>
  <c r="I106" i="2" s="1"/>
  <c r="H186" i="2"/>
  <c r="I186" i="2" s="1"/>
  <c r="H377" i="2"/>
  <c r="I377" i="2" s="1"/>
  <c r="H336" i="2"/>
  <c r="I336" i="2" s="1"/>
  <c r="H325" i="2"/>
  <c r="I325" i="2" s="1"/>
  <c r="H298" i="2"/>
  <c r="I298" i="2" s="1"/>
  <c r="H145" i="2"/>
  <c r="I145" i="2" s="1"/>
  <c r="H105" i="2"/>
  <c r="I105" i="2" s="1"/>
  <c r="H69" i="2"/>
  <c r="I69" i="2" s="1"/>
  <c r="H23" i="2"/>
  <c r="I23" i="2" s="1"/>
  <c r="H347" i="2"/>
  <c r="I347" i="2" s="1"/>
  <c r="H328" i="2"/>
  <c r="I328" i="2" s="1"/>
  <c r="H258" i="2"/>
  <c r="I258" i="2" s="1"/>
  <c r="H63" i="2"/>
  <c r="I63" i="2" s="1"/>
  <c r="H324" i="2"/>
  <c r="I324" i="2" s="1"/>
  <c r="H169" i="2"/>
  <c r="I169" i="2" s="1"/>
  <c r="H35" i="2"/>
  <c r="I35" i="2" s="1"/>
  <c r="H215" i="2"/>
  <c r="I215" i="2" s="1"/>
  <c r="H391" i="2"/>
  <c r="I391" i="2" s="1"/>
  <c r="H323" i="2"/>
  <c r="I323" i="2" s="1"/>
  <c r="H251" i="2"/>
  <c r="I251" i="2" s="1"/>
  <c r="H346" i="2"/>
  <c r="I346" i="2" s="1"/>
  <c r="H161" i="2"/>
  <c r="I161" i="2" s="1"/>
  <c r="H135" i="2"/>
  <c r="I135" i="2" s="1"/>
  <c r="H303" i="2"/>
  <c r="I303" i="2" s="1"/>
  <c r="H275" i="2"/>
  <c r="I275" i="2" s="1"/>
  <c r="H134" i="2"/>
  <c r="I134" i="2" s="1"/>
  <c r="H204" i="2"/>
  <c r="I204" i="2" s="1"/>
  <c r="H80" i="2"/>
  <c r="I80" i="2" s="1"/>
  <c r="H68" i="2"/>
  <c r="I68" i="2" s="1"/>
  <c r="H384" i="2"/>
  <c r="I384" i="2" s="1"/>
  <c r="H374" i="2"/>
  <c r="I374" i="2" s="1"/>
  <c r="H281" i="2"/>
  <c r="I281" i="2" s="1"/>
  <c r="H95" i="2"/>
  <c r="I95" i="2" s="1"/>
  <c r="H65" i="2"/>
  <c r="I65" i="2" s="1"/>
  <c r="H304" i="2"/>
  <c r="I304" i="2" s="1"/>
  <c r="H166" i="2"/>
  <c r="I166" i="2" s="1"/>
  <c r="H141" i="2"/>
  <c r="I141" i="2" s="1"/>
  <c r="H381" i="2"/>
  <c r="I381" i="2" s="1"/>
  <c r="H318" i="2"/>
  <c r="I318" i="2" s="1"/>
  <c r="H185" i="2"/>
  <c r="I185" i="2" s="1"/>
  <c r="H168" i="2"/>
  <c r="I168" i="2" s="1"/>
  <c r="H98" i="2"/>
  <c r="I98" i="2" s="1"/>
  <c r="H380" i="2"/>
  <c r="I380" i="2" s="1"/>
  <c r="H302" i="2"/>
  <c r="I302" i="2" s="1"/>
  <c r="H189" i="2"/>
  <c r="I189" i="2" s="1"/>
  <c r="H109" i="2"/>
  <c r="I109" i="2" s="1"/>
  <c r="H27" i="2"/>
  <c r="I27" i="2" s="1"/>
  <c r="H271" i="2"/>
  <c r="I271" i="2" s="1"/>
  <c r="H125" i="2"/>
  <c r="I125" i="2" s="1"/>
  <c r="H274" i="2"/>
  <c r="I274" i="2" s="1"/>
  <c r="H203" i="2"/>
  <c r="I203" i="2" s="1"/>
  <c r="H133" i="2"/>
  <c r="I133" i="2" s="1"/>
  <c r="H117" i="2"/>
  <c r="I117" i="2" s="1"/>
  <c r="H59" i="2"/>
  <c r="I59" i="2" s="1"/>
  <c r="H34" i="2"/>
  <c r="I34" i="2" s="1"/>
  <c r="H270" i="2"/>
  <c r="I270" i="2" s="1"/>
  <c r="H214" i="2"/>
  <c r="I214" i="2" s="1"/>
  <c r="H58" i="2"/>
  <c r="I58" i="2" s="1"/>
  <c r="H33" i="2"/>
  <c r="I33" i="2" s="1"/>
  <c r="H22" i="2"/>
  <c r="I22" i="2" s="1"/>
  <c r="H226" i="2"/>
  <c r="I226" i="2" s="1"/>
  <c r="H140" i="2"/>
  <c r="I140" i="2" s="1"/>
  <c r="H208" i="2"/>
  <c r="I208" i="2" s="1"/>
  <c r="H5" i="2"/>
  <c r="I5" i="2" s="1"/>
  <c r="H250" i="2"/>
  <c r="I250" i="2" s="1"/>
  <c r="H390" i="2"/>
  <c r="I390" i="2" s="1"/>
  <c r="H86" i="2"/>
  <c r="I86" i="2" s="1"/>
  <c r="H232" i="2"/>
  <c r="I232" i="2" s="1"/>
  <c r="H369" i="2"/>
  <c r="I369" i="2" s="1"/>
  <c r="H269" i="2"/>
  <c r="I269" i="2" s="1"/>
  <c r="H112" i="2"/>
  <c r="I112" i="2" s="1"/>
  <c r="H76" i="2"/>
  <c r="I76" i="2" s="1"/>
  <c r="H294" i="2"/>
  <c r="I294" i="2" s="1"/>
  <c r="H88" i="2"/>
  <c r="I88" i="2" s="1"/>
  <c r="H13" i="2"/>
  <c r="I13" i="2" s="1"/>
  <c r="H262" i="2"/>
  <c r="I262" i="2" s="1"/>
  <c r="H188" i="2"/>
  <c r="I188" i="2" s="1"/>
  <c r="H165" i="2"/>
  <c r="I165" i="2" s="1"/>
  <c r="H220" i="2"/>
  <c r="I220" i="2" s="1"/>
  <c r="H132" i="2"/>
  <c r="I132" i="2" s="1"/>
  <c r="H156" i="2"/>
  <c r="I156" i="2" s="1"/>
  <c r="H139" i="2"/>
  <c r="I139" i="2" s="1"/>
  <c r="H197" i="2"/>
  <c r="I197" i="2" s="1"/>
  <c r="H138" i="2"/>
  <c r="I138" i="2" s="1"/>
  <c r="H164" i="2"/>
  <c r="I164" i="2" s="1"/>
  <c r="H55" i="2"/>
  <c r="I55" i="2" s="1"/>
  <c r="H240" i="2"/>
  <c r="I240" i="2" s="1"/>
  <c r="H249" i="2"/>
  <c r="I249" i="2" s="1"/>
  <c r="H124" i="2"/>
  <c r="I124" i="2" s="1"/>
  <c r="H335" i="2"/>
  <c r="I335" i="2" s="1"/>
  <c r="H257" i="2"/>
  <c r="I257" i="2" s="1"/>
  <c r="H362" i="2"/>
  <c r="I362" i="2" s="1"/>
  <c r="H373" i="2"/>
  <c r="I373" i="2" s="1"/>
  <c r="H301" i="2"/>
  <c r="I301" i="2" s="1"/>
  <c r="H71" i="2"/>
  <c r="I71" i="2" s="1"/>
  <c r="H196" i="2"/>
  <c r="I196" i="2" s="1"/>
  <c r="H289" i="2"/>
  <c r="I289" i="2" s="1"/>
  <c r="H317" i="2"/>
  <c r="I317" i="2" s="1"/>
  <c r="H116" i="2"/>
  <c r="I116" i="2" s="1"/>
  <c r="H176" i="2"/>
  <c r="I176" i="2" s="1"/>
  <c r="H219" i="2"/>
  <c r="I219" i="2" s="1"/>
  <c r="H108" i="2"/>
  <c r="I108" i="2" s="1"/>
  <c r="H187" i="2"/>
  <c r="I187" i="2" s="1"/>
  <c r="H316" i="2"/>
  <c r="I316" i="2" s="1"/>
  <c r="H62" i="2"/>
  <c r="I62" i="2" s="1"/>
  <c r="H389" i="2"/>
  <c r="I389" i="2" s="1"/>
  <c r="H368" i="2"/>
  <c r="I368" i="2" s="1"/>
  <c r="H357" i="2"/>
  <c r="I357" i="2" s="1"/>
  <c r="H115" i="2"/>
  <c r="I115" i="2" s="1"/>
  <c r="H49" i="2"/>
  <c r="I49" i="2" s="1"/>
  <c r="H297" i="2"/>
  <c r="I297" i="2" s="1"/>
  <c r="H43" i="2"/>
  <c r="I43" i="2" s="1"/>
  <c r="H144" i="2"/>
  <c r="I144" i="2" s="1"/>
  <c r="H268" i="2"/>
  <c r="I268" i="2" s="1"/>
  <c r="H155" i="2"/>
  <c r="I155" i="2" s="1"/>
  <c r="H10" i="2"/>
  <c r="I10" i="2" s="1"/>
  <c r="H256" i="2"/>
  <c r="I256" i="2" s="1"/>
  <c r="H202" i="2"/>
  <c r="I202" i="2" s="1"/>
  <c r="H160" i="2"/>
  <c r="I160" i="2" s="1"/>
  <c r="H26" i="2"/>
  <c r="I26" i="2" s="1"/>
  <c r="H388" i="2"/>
  <c r="I388" i="2" s="1"/>
  <c r="H201" i="2"/>
  <c r="I201" i="2" s="1"/>
  <c r="H356" i="2"/>
  <c r="I356" i="2" s="1"/>
  <c r="H267" i="2"/>
  <c r="I267" i="2" s="1"/>
  <c r="H248" i="2"/>
  <c r="I248" i="2" s="1"/>
  <c r="H195" i="2"/>
  <c r="I195" i="2" s="1"/>
  <c r="H21" i="2"/>
  <c r="I21" i="2" s="1"/>
  <c r="H342" i="2"/>
  <c r="I342" i="2" s="1"/>
  <c r="H292" i="2"/>
  <c r="I292" i="2" s="1"/>
  <c r="H213" i="2"/>
  <c r="I213" i="2" s="1"/>
  <c r="H20" i="2"/>
  <c r="I20" i="2" s="1"/>
  <c r="H42" i="2"/>
  <c r="I42" i="2" s="1"/>
  <c r="H150" i="2"/>
  <c r="I150" i="2" s="1"/>
  <c r="H48" i="2"/>
  <c r="I48" i="2" s="1"/>
  <c r="H79" i="2"/>
  <c r="I79" i="2" s="1"/>
  <c r="H12" i="2"/>
  <c r="I12" i="2" s="1"/>
  <c r="H379" i="2"/>
  <c r="I379" i="2" s="1"/>
  <c r="H345" i="2"/>
  <c r="I345" i="2" s="1"/>
  <c r="H300" i="2"/>
  <c r="I300" i="2" s="1"/>
  <c r="H293" i="2"/>
  <c r="I293" i="2" s="1"/>
  <c r="H200" i="2"/>
  <c r="I200" i="2" s="1"/>
  <c r="H159" i="2"/>
  <c r="I159" i="2" s="1"/>
  <c r="H321" i="2"/>
  <c r="I321" i="2" s="1"/>
  <c r="H311" i="2"/>
  <c r="I311" i="2" s="1"/>
  <c r="H207" i="2"/>
  <c r="I207" i="2" s="1"/>
  <c r="H182" i="2"/>
  <c r="I182" i="2" s="1"/>
  <c r="H310" i="2"/>
  <c r="I310" i="2" s="1"/>
  <c r="H255" i="2"/>
  <c r="I255" i="2" s="1"/>
  <c r="H309" i="2"/>
  <c r="I309" i="2" s="1"/>
  <c r="H320" i="2"/>
  <c r="I320" i="2" s="1"/>
  <c r="H54" i="2"/>
  <c r="I54" i="2" s="1"/>
  <c r="H361" i="2"/>
  <c r="I361" i="2" s="1"/>
  <c r="H218" i="2"/>
  <c r="I218" i="2" s="1"/>
  <c r="H376" i="2"/>
  <c r="I376" i="2" s="1"/>
  <c r="H366" i="2"/>
  <c r="I366" i="2" s="1"/>
  <c r="H334" i="2"/>
  <c r="I334" i="2" s="1"/>
  <c r="H91" i="2"/>
  <c r="I91" i="2" s="1"/>
  <c r="H75" i="2"/>
  <c r="I75" i="2" s="1"/>
  <c r="H149" i="2"/>
  <c r="I149" i="2" s="1"/>
  <c r="H360" i="2"/>
  <c r="I360" i="2" s="1"/>
  <c r="H225" i="2"/>
  <c r="I225" i="2" s="1"/>
  <c r="H154" i="2"/>
  <c r="I154" i="2" s="1"/>
  <c r="H111" i="2"/>
  <c r="I111" i="2" s="1"/>
  <c r="H74" i="2"/>
  <c r="I74" i="2" s="1"/>
  <c r="H314" i="2"/>
  <c r="I314" i="2" s="1"/>
  <c r="H365" i="2"/>
  <c r="I365" i="2" s="1"/>
  <c r="H333" i="2"/>
  <c r="I333" i="2" s="1"/>
  <c r="H224" i="2"/>
  <c r="I224" i="2" s="1"/>
  <c r="H194" i="2"/>
  <c r="I194" i="2" s="1"/>
  <c r="H181" i="2"/>
  <c r="I181" i="2" s="1"/>
  <c r="H90" i="2"/>
  <c r="I90" i="2" s="1"/>
  <c r="H355" i="2"/>
  <c r="I355" i="2" s="1"/>
  <c r="H85" i="2"/>
  <c r="I85" i="2" s="1"/>
  <c r="H350" i="2"/>
  <c r="I350" i="2" s="1"/>
  <c r="H332" i="2"/>
  <c r="I332" i="2" s="1"/>
  <c r="H153" i="2"/>
  <c r="I153" i="2" s="1"/>
  <c r="H103" i="2"/>
  <c r="I103" i="2" s="1"/>
  <c r="H41" i="2"/>
  <c r="I41" i="2" s="1"/>
  <c r="H31" i="2"/>
  <c r="I31" i="2" s="1"/>
  <c r="H383" i="2"/>
  <c r="I383" i="2" s="1"/>
  <c r="H349" i="2"/>
  <c r="I349" i="2" s="1"/>
  <c r="H331" i="2"/>
  <c r="I331" i="2" s="1"/>
  <c r="H354" i="2"/>
  <c r="I354" i="2" s="1"/>
  <c r="H167" i="2"/>
  <c r="I167" i="2" s="1"/>
  <c r="H199" i="2"/>
  <c r="I199" i="2" s="1"/>
  <c r="H266" i="2"/>
  <c r="I266" i="2" s="1"/>
  <c r="H9" i="2"/>
  <c r="I9" i="2" s="1"/>
  <c r="H378" i="2"/>
  <c r="I378" i="2" s="1"/>
  <c r="H100" i="2"/>
  <c r="I100" i="2" s="1"/>
  <c r="H291" i="2"/>
  <c r="I291" i="2" s="1"/>
  <c r="H247" i="2"/>
  <c r="I247" i="2" s="1"/>
  <c r="H19" i="2"/>
  <c r="I19" i="2" s="1"/>
  <c r="H114" i="2"/>
  <c r="I114" i="2" s="1"/>
  <c r="H99" i="2"/>
  <c r="I99" i="2" s="1"/>
  <c r="H67" i="2"/>
  <c r="I67" i="2" s="1"/>
  <c r="H359" i="2"/>
  <c r="I359" i="2" s="1"/>
  <c r="H288" i="2"/>
  <c r="I288" i="2" s="1"/>
  <c r="H231" i="2"/>
  <c r="I231" i="2" s="1"/>
  <c r="H246" i="2"/>
  <c r="I246" i="2" s="1"/>
  <c r="H180" i="2"/>
  <c r="I180" i="2" s="1"/>
  <c r="H102" i="2"/>
  <c r="I102" i="2" s="1"/>
  <c r="H82" i="2"/>
  <c r="I82" i="2" s="1"/>
  <c r="H348" i="2"/>
  <c r="I348" i="2" s="1"/>
  <c r="H296" i="2"/>
  <c r="I296" i="2" s="1"/>
  <c r="H179" i="2"/>
  <c r="I179" i="2" s="1"/>
  <c r="H239" i="2"/>
  <c r="I239" i="2" s="1"/>
  <c r="H163" i="2"/>
  <c r="I163" i="2" s="1"/>
  <c r="H148" i="2"/>
  <c r="I148" i="2" s="1"/>
  <c r="H119" i="2"/>
  <c r="I119" i="2" s="1"/>
  <c r="H280" i="2"/>
  <c r="I280" i="2" s="1"/>
  <c r="H273" i="2"/>
  <c r="I273" i="2" s="1"/>
  <c r="H217" i="2"/>
  <c r="I217" i="2" s="1"/>
  <c r="H313" i="2"/>
  <c r="I313" i="2" s="1"/>
  <c r="H245" i="2"/>
  <c r="I245" i="2" s="1"/>
  <c r="H158" i="2"/>
  <c r="I158" i="2" s="1"/>
  <c r="H131" i="2"/>
  <c r="I131" i="2" s="1"/>
  <c r="H254" i="2"/>
  <c r="I254" i="2" s="1"/>
  <c r="H47" i="2"/>
  <c r="I47" i="2" s="1"/>
  <c r="H295" i="2"/>
  <c r="I295" i="2" s="1"/>
  <c r="H253" i="2"/>
  <c r="I253" i="2" s="1"/>
  <c r="H364" i="2"/>
  <c r="I364" i="2" s="1"/>
  <c r="H319" i="2"/>
  <c r="I319" i="2" s="1"/>
  <c r="H223" i="2"/>
  <c r="I223" i="2" s="1"/>
  <c r="H130" i="2"/>
  <c r="I130" i="2" s="1"/>
  <c r="H107" i="2"/>
  <c r="I107" i="2" s="1"/>
  <c r="H222" i="2"/>
  <c r="I222" i="2" s="1"/>
  <c r="H375" i="2"/>
  <c r="I375" i="2" s="1"/>
  <c r="H308" i="2"/>
  <c r="I308" i="2" s="1"/>
  <c r="H184" i="2"/>
  <c r="I184" i="2" s="1"/>
  <c r="H93" i="2"/>
  <c r="I93" i="2" s="1"/>
  <c r="H4" i="2"/>
  <c r="I4" i="2" s="1"/>
  <c r="H238" i="2"/>
  <c r="I238" i="2" s="1"/>
  <c r="H206" i="2"/>
  <c r="I206" i="2" s="1"/>
  <c r="H175" i="2"/>
  <c r="I175" i="2" s="1"/>
  <c r="H78" i="2"/>
  <c r="I78" i="2" s="1"/>
  <c r="H30" i="2"/>
  <c r="I30" i="2" s="1"/>
  <c r="H129" i="2"/>
  <c r="I129" i="2" s="1"/>
  <c r="H25" i="2"/>
  <c r="I25" i="2" s="1"/>
  <c r="H193" i="2"/>
  <c r="I193" i="2" s="1"/>
  <c r="H358" i="2"/>
  <c r="I358" i="2" s="1"/>
  <c r="H174" i="2"/>
  <c r="I174" i="2" s="1"/>
  <c r="H279" i="2"/>
  <c r="I279" i="2" s="1"/>
  <c r="H178" i="2"/>
  <c r="I178" i="2" s="1"/>
  <c r="H8" i="2"/>
  <c r="I8" i="2" s="1"/>
  <c r="H338" i="2"/>
  <c r="I338" i="2" s="1"/>
  <c r="H261" i="2"/>
  <c r="I261" i="2" s="1"/>
  <c r="H87" i="2"/>
  <c r="I87" i="2" s="1"/>
</calcChain>
</file>

<file path=xl/sharedStrings.xml><?xml version="1.0" encoding="utf-8"?>
<sst xmlns="http://schemas.openxmlformats.org/spreadsheetml/2006/main" count="1711" uniqueCount="296">
  <si>
    <t>Flight Date</t>
  </si>
  <si>
    <t>Aircraft Registration</t>
  </si>
  <si>
    <t>PHBHI</t>
  </si>
  <si>
    <t>PHBHA</t>
  </si>
  <si>
    <t>PHBKH</t>
  </si>
  <si>
    <t>PHBHL</t>
  </si>
  <si>
    <t>PHBHN</t>
  </si>
  <si>
    <t>PHBHF</t>
  </si>
  <si>
    <t>PHBQN</t>
  </si>
  <si>
    <t>PHBQM</t>
  </si>
  <si>
    <t>PHBHP</t>
  </si>
  <si>
    <t>PHBHD</t>
  </si>
  <si>
    <t>PHBHG</t>
  </si>
  <si>
    <t>PHBHE</t>
  </si>
  <si>
    <t>PHBHH</t>
  </si>
  <si>
    <t>PHBHC</t>
  </si>
  <si>
    <t>PHBHM</t>
  </si>
  <si>
    <t>PHBQG</t>
  </si>
  <si>
    <t>PHBQC</t>
  </si>
  <si>
    <t>PHBQA</t>
  </si>
  <si>
    <t>PHBQK</t>
  </si>
  <si>
    <t>PHBQE</t>
  </si>
  <si>
    <t>PHBQL</t>
  </si>
  <si>
    <t>PHBQD</t>
  </si>
  <si>
    <t>PHBQO</t>
  </si>
  <si>
    <t>PHBQF</t>
  </si>
  <si>
    <t>PHBQH</t>
  </si>
  <si>
    <t>PHBQI</t>
  </si>
  <si>
    <t>PHBQP</t>
  </si>
  <si>
    <t>PHBQB</t>
  </si>
  <si>
    <t>PHBVB</t>
  </si>
  <si>
    <t>PHBKC</t>
  </si>
  <si>
    <t>PHBKD</t>
  </si>
  <si>
    <t>PHBKF</t>
  </si>
  <si>
    <t>PHBKG</t>
  </si>
  <si>
    <t>PHBKI</t>
  </si>
  <si>
    <t>PHBKA</t>
  </si>
  <si>
    <t>PHBVO</t>
  </si>
  <si>
    <t>PHBVF</t>
  </si>
  <si>
    <t>PHBVS</t>
  </si>
  <si>
    <t>PHBVW</t>
  </si>
  <si>
    <t>PHBVR</t>
  </si>
  <si>
    <t>PHBVU</t>
  </si>
  <si>
    <t>PHBVA</t>
  </si>
  <si>
    <t>PHBVG</t>
  </si>
  <si>
    <t>PHBVD</t>
  </si>
  <si>
    <t>PHBVP</t>
  </si>
  <si>
    <t>PHBVK</t>
  </si>
  <si>
    <t>PHBVC</t>
  </si>
  <si>
    <t>FlightPrefix</t>
  </si>
  <si>
    <t>FlightNumber</t>
  </si>
  <si>
    <t>Flight</t>
  </si>
  <si>
    <t>FlightLegDepartureDateLT</t>
  </si>
  <si>
    <t>FlightDate</t>
  </si>
  <si>
    <t>Departure</t>
  </si>
  <si>
    <t>Remark</t>
  </si>
  <si>
    <t>KL</t>
  </si>
  <si>
    <t>KL0417</t>
  </si>
  <si>
    <t>AMS</t>
  </si>
  <si>
    <t>confim @ by rm OPER PH-AOC // DUTEC POSN 42P TO REMAIN EMPTY</t>
  </si>
  <si>
    <t>CONFI CHANGE BY RM OPER PH-AOB - DUTEC NO AVI IN DE BULK. PROTECT SENSITIVE CARGO</t>
  </si>
  <si>
    <t>KL0423</t>
  </si>
  <si>
    <t>KL0425</t>
  </si>
  <si>
    <t>KL0427</t>
  </si>
  <si>
    <t>KL0539</t>
  </si>
  <si>
    <t>CONFI CHANGED SPL/MM OPER PH-AOB DUTEC NO AVI IN BULK OPER PH-AOB DUTEC POSN 31P MUST REMAIN EMPTY</t>
  </si>
  <si>
    <t>KL0565</t>
  </si>
  <si>
    <t>OPER PH-BVN - POSN 11R REMAIN EMPTY</t>
  </si>
  <si>
    <t>OPER PH-BVO - FWD PDU 27R U/S 27R AND 25R OR 25P REMAIN EMPTY</t>
  </si>
  <si>
    <t>OPER PH-BVU - AFT PDU 17R u/s, 42P remain empty</t>
  </si>
  <si>
    <t>KL0571</t>
  </si>
  <si>
    <t>OPER PH-BKG - AFT CARGO PANELS U/S - AFT HOLD TO REMAIN EMPTY</t>
  </si>
  <si>
    <t>KL0587</t>
  </si>
  <si>
    <t>OPER PH-AOD # DUTEC POSN 23R/22P MUST REMAIN EMPTY</t>
  </si>
  <si>
    <t>KL0589</t>
  </si>
  <si>
    <t>OPER PH-BVU DUTEC POSN 42P REMAIN EMPTY</t>
  </si>
  <si>
    <t>KL0591</t>
  </si>
  <si>
    <t>OPER PH-BVK DUTEC 2x AKE 27L-28L or 25P REMAIN EMPTY</t>
  </si>
  <si>
    <t>KL0597</t>
  </si>
  <si>
    <t>surf eq bulk OPER PH-BVN - POSN 11R REMAIN EMPTY</t>
  </si>
  <si>
    <t>KL0601</t>
  </si>
  <si>
    <t>KL0605</t>
  </si>
  <si>
    <t>KL0617</t>
  </si>
  <si>
    <t>KL0621</t>
  </si>
  <si>
    <t>OPER PH-BKI - PDU u/s - POSN 15R REMAIN EMPTY</t>
  </si>
  <si>
    <t>OPER PH-BKC - FWD HOLD PDUs U/S - FWD HOLD 1 - 2 TO REMAIN EMPTY / BALAST PLT MUST STAY ON BOARD</t>
  </si>
  <si>
    <t>KL0623</t>
  </si>
  <si>
    <t>4X AVI - BULK OPER PH-AKA DUTEC HOLD 1-2 MUST REMAIN EMPTY</t>
  </si>
  <si>
    <t>OPER PH-AKA DUTEC HOLD 1-2 MUST REMAIN EMPTY 4 x AVIH TO BE LOADED IN THE BULK</t>
  </si>
  <si>
    <t>KL0627</t>
  </si>
  <si>
    <t>OPER PH-AOB - DUTEC NO AVI IN BULK</t>
  </si>
  <si>
    <t>KL0635</t>
  </si>
  <si>
    <t>OPER PH-BHN - FWD HANDLING SYST PDU,S U/S - POSN 23 14L AND 2X 5L1 -52R U/S - FWD HOLD 1 -2 MUST REMAIN EMPTY</t>
  </si>
  <si>
    <t>OPER PH-BHM 3x PDUs u/s left side FWD HOLD - NO CNTRS LEFT SIDE -CNTRS RIGHT SIDE LOADABLE - NO PLBS FWD HOLD</t>
  </si>
  <si>
    <t>OPER PH-BHH AFT PANEL U/S - AFT HOLD 3 - 4 AND BULK REMAIN EMPTY</t>
  </si>
  <si>
    <t>OPER PH-BHI POS 12 PDU 3/L U/S LEFT SIDE FWD HOLD - NO CNTRS LEFT SIDE - -CNTRS RIGHT SIDE LOADABLE - NO PLTS/PLBS IN FWD HOLD</t>
  </si>
  <si>
    <t>KL0641</t>
  </si>
  <si>
    <t>OPER PH-BHC - NO COOLING HOLD 1-2. PLEASE PROTECT SENSITIVE CARGO</t>
  </si>
  <si>
    <t>KL0643</t>
  </si>
  <si>
    <t>OPER PH-BKH DUTEC HOLD 3-4 REMAIN EMPTY AVIH bulk</t>
  </si>
  <si>
    <t>OPER PH-AOB DUTEC NO AVI IN BULK OPER PH-AOB DUTEC POSN 31P MUST REMAIN EMPTY RM: Confi@ Min 2xPA</t>
  </si>
  <si>
    <t>OPER PH-AOD # DUTEC POSN 23R/22P MUST REMAIN EMPTY incl 39pcs bb bags dest ruh</t>
  </si>
  <si>
    <t>OPER PH-BQD DUTEC POSN 42L/R REMAIN EMPTY</t>
  </si>
  <si>
    <t>KL0535</t>
  </si>
  <si>
    <t>Confi changed due shortage of AKEs in EBB OPER PH-AOB - BULK HEAT U/S NO AVI IN BULK</t>
  </si>
  <si>
    <t>TBO set OPER PH-BQH -- DUTEC POSN 42P REMAIN EMPTY</t>
  </si>
  <si>
    <t>KL0569</t>
  </si>
  <si>
    <t>OPER PH-BKK Aft cgo hold to remain empty except 1pag plt</t>
  </si>
  <si>
    <t>OPER PH-BKC - FWD HOLD PDUs U/S - FWD HOLD 1 - 2 TO REMAIN EMPTY</t>
  </si>
  <si>
    <t>OPER PH-AOB - BULK HEAT U/S NO AVI IN BULK AND PROTECT SENSITIVE CARGO</t>
  </si>
  <si>
    <t>OPER PH-AOB # BULK AIRCO U/S // NO AVI IN BULK</t>
  </si>
  <si>
    <t>OPER PH-BVO DUTEC POSN 25P REMAIN EMPTY</t>
  </si>
  <si>
    <t>OPER PH-BVU - AFT PDU 17R U/S 42P REMAIN EMPTY</t>
  </si>
  <si>
    <t>OPER PH-BKH DUTEC HOLD 3-4 REMAIN EMPTY EXCEPT FOR 1 PAG PLT</t>
  </si>
  <si>
    <t>OPER PH-BKH - DUTEC HOLD 3-4 REMAIN EMPTY - EXCEPT FOR 1 PAG PLT</t>
  </si>
  <si>
    <t>OPER PH-BKC - DUTEC FWD HOLD 1-2 MUST REMAIN EMPTY</t>
  </si>
  <si>
    <t>KL0611</t>
  </si>
  <si>
    <t>OPER PH-BHM POS 12 PDU 3/L U/S LEFT SIDE FWD HOLD - NO CNTRS LEFT SIDE - -CNTRS RIGHT SIDE LOADABLE - NO PLTS/PLBS IN FWD HOLD</t>
  </si>
  <si>
    <t>OPER PH-BKH # DUTEC AFT CGO HOLD MUST REMAIN EMPTY</t>
  </si>
  <si>
    <t>OPER PH-BKC - FWD HOLD PDUs U/S - FWD HOLD 1 - 2 TO REMAIN EMPTY / BALAST PLT MUST STAY ON BOARD REQ RM - MAX LDP NEEDED FOR CARGO</t>
  </si>
  <si>
    <t>OPER PH-AKA - FWD HANDLING SYST U/S - FWD HOLD 1 - 2 TO REMAIN EMPTY</t>
  </si>
  <si>
    <t>OPER PH-AKA DUTEC HOLD 1-2 MUST REMAIN EMPTY</t>
  </si>
  <si>
    <t>OPER PH-BHM 3x PDUs u/s left side FWD HOLD - NO CNTRS LEFT SIDE -CNTRS RIGHT SIDE LOADABLE - NO PLTS/PLBS IN FWD HOLD</t>
  </si>
  <si>
    <t>OPER PH-BHA - SIDE RAIL CRACK - POSN 34R and 41R ( OR 33P) REMAIN EMPTY</t>
  </si>
  <si>
    <t>RM NEEDS 5X AKE OPER PH-BHM 3x PDUs u/s left side FWD HOLD - NO CNTRS LEFT CNTRS RIGHT SIDE LOADABLE</t>
  </si>
  <si>
    <t>OPER PH-BKI - AFT HOLD PDU U/S - AFT HOLD TO REMAIN EMPTY</t>
  </si>
  <si>
    <t>OPER PH-BQH -- DUTEC POSN 42P REMAIN EMPTY</t>
  </si>
  <si>
    <t>Oper PH-BHH hold3/4 and bulk must remain empty</t>
  </si>
  <si>
    <t>KL0651</t>
  </si>
  <si>
    <t>REQ RM - MAX LDP - NO LDC NEEDED OPER PH-AOB -DUTEC NO AVI IN BULK</t>
  </si>
  <si>
    <t>OPER PH-AOD # DUTEC POSN 23R/22P ( LDC ) MUST REMAIN EMPTY</t>
  </si>
  <si>
    <t>KL0655</t>
  </si>
  <si>
    <t>OPER PH-AOB - NO AVI IN BULK</t>
  </si>
  <si>
    <t>3X KENNELS AVI TO BE BUILDUP DUE DEFICIENCY PH-AOB</t>
  </si>
  <si>
    <t>KL0661</t>
  </si>
  <si>
    <t>KL0667</t>
  </si>
  <si>
    <t>KL0671</t>
  </si>
  <si>
    <t>OPER PH-AOB DUTEC NO AVI IN BULK OPER PH-AOB DUTEC POSN 31P MUST REMAIN EMPTY</t>
  </si>
  <si>
    <t>KL0675</t>
  </si>
  <si>
    <t>OPER PH-BQF # AFT LH SIDE GUIDE U/S / 1 AFT PLT POSN 42P AND LEFT LDC 41/42 POSN REMAIN EMPTY</t>
  </si>
  <si>
    <t>KL0677</t>
  </si>
  <si>
    <t>OPER PH-BQH -Posn 42P remain empty</t>
  </si>
  <si>
    <t>OPER PH-BHM 3x PDUs u/s left side FWD HOLD - NO CNTRS LEFT SIDE -CNTRS RIGHT SIDE LOADABLE - OPER PH-BHM FCAC NO COOLING HOLD 1-2. PROTECT SENSITIVE ----------------------</t>
  </si>
  <si>
    <t>OPER PH-BHM 3x PDUs u/s left side FWD HOLD - NO CNTRS LEFT SIDE -CNTRS RIGHT SIDE LOADABLE - NO PLTS - PLBS FWD HOLD 19X SPORT/SKI EQUIPMENT in AAP</t>
  </si>
  <si>
    <t>KL0681</t>
  </si>
  <si>
    <t>OPER PH-AOC // DUTEC POSN 42P TO REMAIN EMPTY</t>
  </si>
  <si>
    <t>KL0685</t>
  </si>
  <si>
    <t>OPER PH-BHM 3x PDUs u/s left side FWD HOLD - NO CNTRS LEFT SIDE -CNTRS RIGHT SIDE LOADABLE - NO PLTS / PLBS FWD HOLD</t>
  </si>
  <si>
    <t>OPER PH-BHG FWD PLT POS 32 AND LDC POS 22L U/S - POS 32 AND 22L REMAIN EMPTY</t>
  </si>
  <si>
    <t>KL0689</t>
  </si>
  <si>
    <t>KL0691</t>
  </si>
  <si>
    <t>OPER PH-AOB - NO AVI in BULK</t>
  </si>
  <si>
    <t>OPER PH-BKK - DUTEC AFT HOLDS REMAIN EMPTY</t>
  </si>
  <si>
    <t>OPER PH-BVO / PDU 27R U/S THEREFORE POSN 25P TO REMAIN EMPTY</t>
  </si>
  <si>
    <t>KL0693</t>
  </si>
  <si>
    <t>OPER PH-AOB # DUTEC POSN 31P MUST REMAIN EMPTY OPER PH-AOB # BULK AIRCO U/S // NO AVI IN BULK</t>
  </si>
  <si>
    <t>OPER PH-BHM 3x PDUs u/s left side FWD HOLD - NO CNTRS LEFT SIDE -CNTRS RIGHT SIDE LOADABLE - NO PLBS FWD HOLD wclb</t>
  </si>
  <si>
    <t>RM NEEDS AT LEAST 6LD3 OPER PH-AOC // DUTEC POSN 42P TO REMAIN EMPTY</t>
  </si>
  <si>
    <t>2X AVIH OPER PH-AOB DUTEC NO AVI IN BULK OPER PH-AOB DUTEC POS31P MUST REMAIN EMPN TY</t>
  </si>
  <si>
    <t>OPER PH-AOD # DUTEC POSN 23R/22P MUST REMAIN EMPTY wcbd/130kg</t>
  </si>
  <si>
    <t>OPER PH-AOB DUTEC POSN 31P MUST REMAIN EMPTY</t>
  </si>
  <si>
    <t>OPER PH-BHM NO CNTRS HOLD 1-2 LEFT SIDE. RIGHT SIDE LOADABLE. NO PLTS - NO PLBS ALLOWED FWD HOLD.</t>
  </si>
  <si>
    <t>OPER PH-AOB - BULK HEAT U/S NO AVI IN BULK</t>
  </si>
  <si>
    <t>OPER PH-AOB - DUTEC NO AVI IN BULK AVIH DOGS COLOADED ON CARGO PALLET</t>
  </si>
  <si>
    <t>OPER PH-AOB - DUTEC NO AVI IN BULK 2x avih - MUST BE CO-LOADED ON PALLET</t>
  </si>
  <si>
    <t>OPER PH-BHM 3x PDUs u/s left side FWD HOLD - NO CNTRS LEFT SIDE -CNTRS RIGHT SIDE LOADABLE - NO PLTS - PLBS FWD HOLD</t>
  </si>
  <si>
    <t>OPER PH-BHI POS 12 PDU 3/L U/S LEFT SIDE FWD HOLD - NO CNTRS LEFT SIDE - -CNTRS RIGHT SIDE LOADABLE - NO PLTS/PLBS IN FWD HOLD TBO set to load: AKN90359KL Weight: 550 kg</t>
  </si>
  <si>
    <t>OPER PHBKF HOLD 3/4 MUST RENMAIN EMPTY</t>
  </si>
  <si>
    <t>OPER PH-BHN - FWD HANDLING SYST PDU,S U/S - POSN 23 14L AND 2X 5L1 -52R U/S - FWD HOLD 1 -2 MUST REMAIN EMPTY incl 25x exp bags</t>
  </si>
  <si>
    <t>REQ RM MIN NEED OF 2AKE FOR MAIL OPER PH-AOB - DUTEC NO AVI IN BULK</t>
  </si>
  <si>
    <t>OPER PH-BKK - DUTEC HOLD 3-4 REMAIN EMPTY - EXCEPT 1X PAG PLT</t>
  </si>
  <si>
    <t>KL0695</t>
  </si>
  <si>
    <t>OPER PH-AOC // DUTEC POSN 42P TO REMAIN EMPTY CAP DECEASED ACCORDINGLY</t>
  </si>
  <si>
    <t>KL0701</t>
  </si>
  <si>
    <t>TBO set to load: AKN90367KL Weight: 550 kg OPER PH-BVK DUTEC 2x AKE 27L-28L or 25P REMAIN EMPTY</t>
  </si>
  <si>
    <t>OPER PH-BHE AFT HOLD LOADING SYST U/S - AFT HOLDS TO REMAIN EMPTY</t>
  </si>
  <si>
    <t>OPER PH-BHF AFT PDU 13L U/S - PLT POS 42LH MUST REMAIN EMPTY</t>
  </si>
  <si>
    <t>KL0705</t>
  </si>
  <si>
    <t>OPER PH-BQD DUTEC POSN 42L/R REMAIN EMPTY AVIH 2PCS</t>
  </si>
  <si>
    <t>KL0713</t>
  </si>
  <si>
    <t>wclb van 26kgs OPER PH-BVU DUTEC POSN 42P REMAIN EMPTY</t>
  </si>
  <si>
    <t>OPER PH-BVV # PDU 31P U/S // 31R MUST REMAIN EMPTY</t>
  </si>
  <si>
    <t>KL0735</t>
  </si>
  <si>
    <t>wcbd van 55kgs OPER PH-BVO - FWD PDU 27R U/S 27R AND 25R OR 25P REMAIN EMPTY</t>
  </si>
  <si>
    <t>KL0741</t>
  </si>
  <si>
    <t>RM-CONFI CHANGED INTO 7PP/18LD3 OPER PH-BKD # PDU COMPLAINTS // 4X AKE POSNS MUST REMAIN EMPTY</t>
  </si>
  <si>
    <t>OPER PH-BKG - DUTEC HOLD 3-4 REMAIN EMPTY</t>
  </si>
  <si>
    <t>KL0743</t>
  </si>
  <si>
    <t>KL0755</t>
  </si>
  <si>
    <t>KL0757</t>
  </si>
  <si>
    <t>KL0765</t>
  </si>
  <si>
    <t>KL0777</t>
  </si>
  <si>
    <t>KL0791</t>
  </si>
  <si>
    <t>KL0807</t>
  </si>
  <si>
    <t>KL0809</t>
  </si>
  <si>
    <t>OPER PH-BHC FCAC // HOLD 1-2 NO COOLING. PROTECT SENSITIVE CARGO</t>
  </si>
  <si>
    <t>OPER PH-BHA - DUTEC POSN 33P REMAIN EMPTY</t>
  </si>
  <si>
    <t>OPER PH-BHF AFT PDU 13L U/S - AKE POSN 44L MUST REMAIN EMPTY</t>
  </si>
  <si>
    <t>KL0835</t>
  </si>
  <si>
    <t>KL0855</t>
  </si>
  <si>
    <t>KL0861</t>
  </si>
  <si>
    <t>OPER PH-BQD DUTEC POSNS 42L/R MUST REMAIN EMPTY</t>
  </si>
  <si>
    <t>KL0867</t>
  </si>
  <si>
    <t>KL0871</t>
  </si>
  <si>
    <t>CONFI can NOT be changed only on request by SPL/RM OPER PH-BVO DUTEC POSN 27R and 28R ( or 25P) MUST REMAIN EMPTY</t>
  </si>
  <si>
    <t>KL0875</t>
  </si>
  <si>
    <t>KL0877</t>
  </si>
  <si>
    <t>Confi@ RM OPER PH-BVO - FWD PDU 27R U/S 27R AND 25R OR 25P REMAIN EMPTY</t>
  </si>
  <si>
    <t>KL0879</t>
  </si>
  <si>
    <t>CONFI can NOT be changed only on request by SPL/RM OPER PH-BKH DUTEC HOLD 3-4 REMAIN EMPTY EXCEPT FOR 1 PAG PLT</t>
  </si>
  <si>
    <t>CONFI can NOT be changed only on request by SPL/RM OPER PH-BQD DUTEC POSNS 42L/R MUST REMAIN EMPTY</t>
  </si>
  <si>
    <t>KL0887</t>
  </si>
  <si>
    <t>OPER PH-BQD DUTEC POSN 42L/R REMAIN EMPTY COnfi @ done by RM on req A4</t>
  </si>
  <si>
    <t>KL0895</t>
  </si>
  <si>
    <t>KL0897</t>
  </si>
  <si>
    <t>OPER PH-AOD # DUTEC POSN 23R MUST REMAIN EMPTY</t>
  </si>
  <si>
    <t>KL0537</t>
  </si>
  <si>
    <t>OPER PH-AKA - FWD HANDLING SYST U/S - FWD HOLD 1 - 2 TO REMAIN EMPTY LET OP!!!!!! BIJ NIEUWE VLUCHT MP E-MAIL STUREN : Chain-</t>
  </si>
  <si>
    <t>OPER PH-BVV is PH-BVO no deficiency</t>
  </si>
  <si>
    <t>OPER PH-BKK - DUTEC HOLD 3-4 REMAIN EMPTY - EXCEPT 1X PAG PLT AFT</t>
  </si>
  <si>
    <t>OPER PH-BHE DUTEC AFT HOLDS 3-4 MUST REMAIN EMPTY X-BAG SPEQ/SKI 240CM/30CM/40CM 5X TTL 100KG TO BE LOADED IN BULK CDGRM NEEDS MIN. 8X LDC</t>
  </si>
  <si>
    <t>3x avih OPER PH-AKA - FWD HANDLING SYST U/S - FWD HOLD 1 - 2 TO REMAIN EMPTY</t>
  </si>
  <si>
    <t>5x wcmp in bulkhold OPER PH-BHH AFT PANEL U/S - AFT HOLD 3 - 4 AND BULK REMAIN EMPTY</t>
  </si>
  <si>
    <t>OPER PH-BKH DUTEC HOLD 3-4 REMAIN EMPTY</t>
  </si>
  <si>
    <t>CONFI CHANGE BY RM OPER PH-AOD # DUTEC POSN 23R MUST REMAIN EMPTY</t>
  </si>
  <si>
    <t>OPER PH-AOB - NO AVI IN BULK. PROTECT SENSITIVE CARGO</t>
  </si>
  <si>
    <t>OPER PH-BVK DUTEC 2x AKE 27L-28L or 25P REMAIN EMPTY RM-CONFI CHANGED INTO 8PP/20LD3</t>
  </si>
  <si>
    <t>OPER PH-BHA - SIDE RAIL CRACK - POSN 34R and 41R ( OR 33P) REMAIN EMPTY RM: Confi@ onbhf 1AKE valuables</t>
  </si>
  <si>
    <t>OPER PH-BKK DUTEC HOLD 3-4 REMAIN EMPTY - EXCEPT 1X PAG PLT</t>
  </si>
  <si>
    <t>OPER PH-BKK - DUTEC HOLD 3-4 REMAIN EMPTY - EXCEPT 1X PAG PLT ncl bb bags</t>
  </si>
  <si>
    <t>OPER PH-BHM 3x PDUs u/s left side FWD HOLD - NO CNTRS LEFT SIDE -CNTRS RIGHT SIDE LOADABLE -</t>
  </si>
  <si>
    <t>3X AVIH - PLB OPER PH-AOB DUTEC NO AVI IN BULK OPER PH-AOB DUTEC POSN 31P MUST REMAIN EMPTY</t>
  </si>
  <si>
    <t>3X AVIH IN 2 KENNELS COLOADED ON CARGO PALLET OPER PH-AOB // BULK HEAT U/S - NO AVI IN BULK</t>
  </si>
  <si>
    <t>OPER PH-AOC - DUTEC POSN 42P MUST REMAIN EMPTY RM NEEDS AT LEAST 6LD3 avih</t>
  </si>
  <si>
    <t>3x bag avih - CO LOADED ON CARGO PALLET OPER PH-AOB - BULK HEAT U/S NO AVI IN BULK AND PROTECT SENSITIVE CARGO</t>
  </si>
  <si>
    <t>OPER PH-BQD DUTEC POSN 42L/R REMAIN EMPTY 3x avih in BULK</t>
  </si>
  <si>
    <t>OPER PH-AOB - BULK HEAT U/S NO AVI IN BULK AND PROTECT SENSITIVE CARGO AVI TO BE BUILD-UP - DIMS 95X65X70CM</t>
  </si>
  <si>
    <t>OPER PH-BHA - SIDE RAIL CRACK - POSN 34R and 41R (OR 33P) REMAIN EMPTY</t>
  </si>
  <si>
    <t>OPER PH-BVW</t>
  </si>
  <si>
    <t>OPER PH-BQL - AFT SMOKE DETECTOR U/S - AFT HOLD 4-5 AND BULK TO BE REMAIN EMPTY 3 x AVIH</t>
  </si>
  <si>
    <t>OPER PH-BHA - SIDE RAIL CRACK - POSN 34R and 41R ( OR 33P) REMAIN EMPTY 22 BB BAGS</t>
  </si>
  <si>
    <t>1 ake expedite bagage OPER PH-BHM NO CNTRS HOLD 1-2 LEFT SIDE. RIGHT SIDE LOADABLE. NO PLTS - NO PLBS ALLOWED FWD HOLD.</t>
  </si>
  <si>
    <t>OPER PH-BHE DUTEC AFT HOLDS 3-4 MUST REMAIN EMPTY</t>
  </si>
  <si>
    <t>OPER PH-AOB - BULK HEAT U/S NO AVI IN BULK avih</t>
  </si>
  <si>
    <t>AVIH OP PALLET BIJBOUWEN IVM A/C DEF PH-AOB</t>
  </si>
  <si>
    <t>KL0733</t>
  </si>
  <si>
    <t>OPER PH-AOC // DUTEC POSN 42P TO REMAIN EMPTY avih</t>
  </si>
  <si>
    <t>CONFI CHANGED DUE RKN POSTIIONS NEEDED OPER PH-BHA - SIDE RAIL CRACK - POSN 34R and 41R ( OR 33P) REMAIN EMPTY</t>
  </si>
  <si>
    <t>OPER PH-BHM 3x PDUs u/s left side FWD HOLD - NO CNTRS LEFT SIDE -CNTRS RIGHT SIDE LOADABLE - NO PLTS/PLBS IN FWD HOLD REQ RM - MIN IN NEED OF 3LD3</t>
  </si>
  <si>
    <t>OPER PH-BHN - FWD HANDLING SYST PDU,S U/S - POSN 23 14L AND 2X 5L1 -52R U/S - FWD HOLD 1 -2 MUST REMAIN EMPTY wclb INCL 37PCS BB BAGS</t>
  </si>
  <si>
    <t>OPER PH-BVN - POSN 11R REMAIN EMPTY 1x wcbw</t>
  </si>
  <si>
    <t>KL0721</t>
  </si>
  <si>
    <t>OPER PH-BVO - FWD PDU 27R U/S 27R AND 25R OR 25P REMAIN EMPTY TBO set</t>
  </si>
  <si>
    <t>OPER PH-BVN - POSN 11R REMAIN EMPTY wcbd 194 kg 2 x avih</t>
  </si>
  <si>
    <t>OPER PH-BVO - FWD PDU 27R U/S 27R AND 25R OR 25P REMAIN EMPTY WCBW/140KG - WCBD/25KG</t>
  </si>
  <si>
    <t>OPER PH-BVO - FWD PDU 27R U/S 27R AND 25R OR 25P REMAIN EMPTY wcbd/132kg</t>
  </si>
  <si>
    <t>KL0745</t>
  </si>
  <si>
    <t>PH-BKD # PDU COMPLAINTS // 4X AKE POSNS MUST REMAIN EMPTY 4x bike</t>
  </si>
  <si>
    <t>KL0749</t>
  </si>
  <si>
    <t>OPER PH-AOB DUTEC NO AVI IN BULK !</t>
  </si>
  <si>
    <t>6 X AVI // PLB OPER PH-AOB DUTEC NO AVI IN BULK OPER PH-AOB DUTEC POSN 31P MUST REMAIN EMPTY</t>
  </si>
  <si>
    <t>KL0787</t>
  </si>
  <si>
    <t>OPER PH-BQH -- DUTEC POSN 42P REMAIN EMPTY CONFI can NOT be changed only on request by SPL/RM 57pcs rushbags incl</t>
  </si>
  <si>
    <t>OPER PH-BKG - AFT CARGO PANELS U/S - AFT HOLD TO REMAIN EMPTY CONFI can NOT be changed only on request by SPL/RM</t>
  </si>
  <si>
    <t>OPER PH-BHM 3x PDUs u/s left side FWD HOLD - NO CNTRS LEFT SIDE -CNTRS RIGHT SIDE LOADABLE - NO PLBS FWD HOLD CONFI can NOT be changed only on request by SPL/RM</t>
  </si>
  <si>
    <t>CONFI can NOT be changed only on request by SPL/RM OPER PH-BQD DUTEC POSN 42L/R REMAIN EMPTY</t>
  </si>
  <si>
    <t>OPER PH-BVU - AFT PDU 17R U/S 42P REMAIN EMPTY RM-CONFI CHANGED INTO 10PP/14LD3</t>
  </si>
  <si>
    <t>confi change by RM on request spl/a4 OPER PH-BQF # AFT LH SIDE GUIDE U/S / 1 AFT PLT POSN 42P AND LEFT LDC 41/42 POSN REMAIN EMPTY</t>
  </si>
  <si>
    <t>OPER PH-BHE AFT HOLD LOADING SYST U/S - AFT HOLDS TO REMAIN EMPTY confi change by RM due overstock Ake"s in PEK</t>
  </si>
  <si>
    <t>3 X AVIH - TO BE CO-LOADED ON PLT DUE DEFICIENCY PH-AOB NO AVI IN BULK</t>
  </si>
  <si>
    <t>Oper PHBHA Posn 34R and 41R or 33P remain empty</t>
  </si>
  <si>
    <t>OPER PH-BQH -- DUTEC POSN 42P REMAIN EMPTY 37pcs rush incl deze planning</t>
  </si>
  <si>
    <t>OPER PH-BKK DUTEC HOLD 3-4 REMAIN EMPTY EXCEPT FOR BALLAST PALLET POSN 43P (PMC24484KL) -</t>
  </si>
  <si>
    <t>OPER PH-BHM 3x PDUs u/s left side FWD HOLD - NO CNTRS LEFT SIDE -CNTRS RIGHT SIDE LOADABLE - NO PLTS/ PLBS FWD HOLD Version of 20LDCS fwd hold (10 x u/s left hand side) and 4 plt +2 AKE aft hold</t>
  </si>
  <si>
    <t>OPER PH-BHA - SIDE RAIL CRACK - POSN 34R and 41R ( OR 33P) REMAIN EMPTY wclb 18 KG</t>
  </si>
  <si>
    <t>OPER PH-BHM 3x PDUs u/s left side FWD HOLD - NO CNTRS LEFT CNTRS RIGHT SIDE LOADABLE</t>
  </si>
  <si>
    <t>OPER PH-BHM 3x PDUs u/s left side FWD HOLD - NO CNTRS LEFT SIDE -CNTRS RIGHT SIDE LOADABLE - NO PLTS/ PLBS FWD HOLD</t>
  </si>
  <si>
    <t>OPER PH-BHI 3x PDUs u/s left side FWD HOLD - NO CNTRS LEFT SIDE -CNTRS RIGHT SIDE LOADABLE - NO PLTS/PLBS IN FWD HOLD kix in need of ake</t>
  </si>
  <si>
    <t>8X SURFBOARDS IN ALF OPER PH-AOD # DUTEC POSN 23R/22P ( LDC ) MUST REMAIN EMPTY</t>
  </si>
  <si>
    <t>OPER PH-BHF AFT PDU 13L U/S - POSN 44L remain empty</t>
  </si>
  <si>
    <t>OPER PH-BVN - POSN 11R REMAIN EMPTY CONFI can NOT be changed only on request by SPL/RM avih</t>
  </si>
  <si>
    <t>OPER PH-BVK DUTEC 2x AKE 27L-28L or 25P REMAIN EMPTY CONFI can NOT be changed only on request by SPL/RM</t>
  </si>
  <si>
    <t>OPER PH-BVI - AFT HOLD PLT/LD3 POS U/S PLT POS 32 - 33 LD3 POS 33R + 34R REMAIN EMPTY CONFI can NOT be changed only on request by SPL/RM</t>
  </si>
  <si>
    <t>CONFI can NOT be changed only on request by SPL/RM OPER PH-BVO - FWD PDU 27R U/S 27R AND 25R OR 25P REMAIN EMPTY</t>
  </si>
  <si>
    <t>wcbd/200kg OPER PH-BVO DUTEC POSN 25P REMAIN EMPTY</t>
  </si>
  <si>
    <t>OPER PH-BQD DUTEC POSN 42L/R REMAIN EMPTY CONFI can NOT be changed only on request by SPL/RM</t>
  </si>
  <si>
    <t>on request SPL/A4 confi changed into 5PP/18LD3 OPER PH-BHM 3x PDUs u/s left side FWD HOLD - NO CNTRS LEFT SIDE -CNTRS RIGHT SIDE LOADABLE - NO PLBS FWD HOLD</t>
  </si>
  <si>
    <t>OPER PH-BVO - FWD PDU 27R U/S 27R AND 25R OR 25P REMAIN EMPTY CONFI can NOT be changed only on request by SPL/RM</t>
  </si>
  <si>
    <t>OPER PH-BQD DUTEC POSN 42L/R REMAIN EMPTY CONFI change by RM on request spl/a4</t>
  </si>
  <si>
    <t>confi change by RM on request spl/a4 OPER PH-BVV # PDU 31P U/S // 31R (LDC) MUST REMAIN EMPTY</t>
  </si>
  <si>
    <t>OPER PH-BHM 3x PDUs u/s left side FWD HOLD - NO CNTRS LEFT SIDE -CNTRS RIGHT SIDE LOADABLE - NO PLBS FWD HOLD TBO set</t>
  </si>
  <si>
    <t>CONFI can NOT be changed only on request by SPL/RM OPER PH-BHM 3x PDUs u/s left side FWD HOLD - NO CNTRS LEFT SIDE -CNTRS RIGHT SIDE LOADABLE - NO PLTS/PLBS IN FWD HOLD</t>
  </si>
  <si>
    <t>CONFI can NOT be changed only on request by SPL/RM OPER PH-BHF AFT PDU 13L U/S - AKE POSN 44L MUST REMAIN EMPTY</t>
  </si>
  <si>
    <t>TailNumber</t>
  </si>
  <si>
    <t>TailNumber_Date</t>
  </si>
  <si>
    <t>TailNumber_FlightDate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</si>
</sst>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C11" sqref="C11"/>
    </sheetView>
  </sheetViews>
  <sheetFormatPr defaultRowHeight="14.4" x14ac:dyDescent="0.3"/>
  <cols>
    <col min="1" max="1" width="14.6640625" bestFit="1" customWidth="1"/>
    <col min="2" max="2" width="22.88671875" bestFit="1" customWidth="1"/>
    <col min="3" max="3" width="23.5546875" bestFit="1" customWidth="1"/>
    <col min="4" max="4" width="113.88671875" bestFit="1" customWidth="1"/>
    <col min="5" max="5" width="3" customWidth="1"/>
  </cols>
  <sheetData>
    <row r="1" spans="1:4" x14ac:dyDescent="0.3">
      <c r="A1" s="1" t="s">
        <v>0</v>
      </c>
      <c r="B1" s="1" t="s">
        <v>1</v>
      </c>
      <c r="C1" s="1" t="s">
        <v>295</v>
      </c>
      <c r="D1" s="1" t="s">
        <v>55</v>
      </c>
    </row>
    <row r="2" spans="1:4" x14ac:dyDescent="0.3">
      <c r="A2" s="4">
        <v>45292</v>
      </c>
      <c r="B2" t="s">
        <v>27</v>
      </c>
      <c r="C2" t="str">
        <f>B2&amp;"_"&amp;A2</f>
        <v>PHBQI_45292</v>
      </c>
      <c r="D2" t="str">
        <f>IFERROR(INDEX(Sheet2!G:G,MATCH(Sheet1!C2,Sheet2!I:I,0)),"")</f>
        <v/>
      </c>
    </row>
    <row r="3" spans="1:4" x14ac:dyDescent="0.3">
      <c r="A3" s="4">
        <v>45292</v>
      </c>
      <c r="B3" t="s">
        <v>35</v>
      </c>
      <c r="C3" t="str">
        <f>B3&amp;"_"&amp;A3</f>
        <v>PHBKI_45292</v>
      </c>
      <c r="D3" t="str">
        <f>IFERROR(INDEX(Sheet2!G:G,MATCH(Sheet1!C3,Sheet2!I:I,0)),"")</f>
        <v/>
      </c>
    </row>
    <row r="4" spans="1:4" x14ac:dyDescent="0.3">
      <c r="A4" s="4">
        <v>45292</v>
      </c>
      <c r="B4" t="s">
        <v>44</v>
      </c>
      <c r="C4" t="str">
        <f>B4&amp;"_"&amp;A4</f>
        <v>PHBVG_45292</v>
      </c>
      <c r="D4" t="str">
        <f>IFERROR(INDEX(Sheet2!G:G,MATCH(Sheet1!C4,Sheet2!I:I,0)),"")</f>
        <v/>
      </c>
    </row>
    <row r="5" spans="1:4" x14ac:dyDescent="0.3">
      <c r="A5" s="4">
        <v>45293</v>
      </c>
      <c r="B5" t="s">
        <v>10</v>
      </c>
      <c r="C5" t="str">
        <f>B5&amp;"_"&amp;A5</f>
        <v>PHBHP_45293</v>
      </c>
      <c r="D5" t="str">
        <f>IFERROR(INDEX(Sheet2!G:G,MATCH(Sheet1!C5,Sheet2!I:I,0)),"")</f>
        <v/>
      </c>
    </row>
    <row r="6" spans="1:4" x14ac:dyDescent="0.3">
      <c r="A6" s="4">
        <v>45293</v>
      </c>
      <c r="B6" t="s">
        <v>45</v>
      </c>
      <c r="C6" t="str">
        <f>B6&amp;"_"&amp;A6</f>
        <v>PHBVD_45293</v>
      </c>
      <c r="D6" t="str">
        <f>IFERROR(INDEX(Sheet2!G:G,MATCH(Sheet1!C6,Sheet2!I:I,0)),"")</f>
        <v/>
      </c>
    </row>
    <row r="7" spans="1:4" x14ac:dyDescent="0.3">
      <c r="A7" s="4">
        <v>45295</v>
      </c>
      <c r="B7" t="s">
        <v>11</v>
      </c>
      <c r="C7" t="str">
        <f>B7&amp;"_"&amp;A7</f>
        <v>PHBHD_45295</v>
      </c>
      <c r="D7" t="str">
        <f>IFERROR(INDEX(Sheet2!G:G,MATCH(Sheet1!C7,Sheet2!I:I,0)),"")</f>
        <v/>
      </c>
    </row>
    <row r="8" spans="1:4" x14ac:dyDescent="0.3">
      <c r="A8" s="4">
        <v>45295</v>
      </c>
      <c r="B8" t="s">
        <v>17</v>
      </c>
      <c r="C8" t="str">
        <f>B8&amp;"_"&amp;A8</f>
        <v>PHBQG_45295</v>
      </c>
      <c r="D8" t="str">
        <f>IFERROR(INDEX(Sheet2!G:G,MATCH(Sheet1!C8,Sheet2!I:I,0)),"")</f>
        <v/>
      </c>
    </row>
    <row r="9" spans="1:4" x14ac:dyDescent="0.3">
      <c r="A9" s="4">
        <v>45296</v>
      </c>
      <c r="B9" t="s">
        <v>21</v>
      </c>
      <c r="C9" t="str">
        <f>B9&amp;"_"&amp;A9</f>
        <v>PHBQE_45296</v>
      </c>
      <c r="D9" t="str">
        <f>IFERROR(INDEX(Sheet2!G:G,MATCH(Sheet1!C9,Sheet2!I:I,0)),"")</f>
        <v/>
      </c>
    </row>
    <row r="10" spans="1:4" x14ac:dyDescent="0.3">
      <c r="A10" s="4">
        <v>45296</v>
      </c>
      <c r="B10" t="s">
        <v>39</v>
      </c>
      <c r="C10" t="str">
        <f>B10&amp;"_"&amp;A10</f>
        <v>PHBVS_45296</v>
      </c>
      <c r="D10" t="str">
        <f>IFERROR(INDEX(Sheet2!G:G,MATCH(Sheet1!C10,Sheet2!I:I,0)),"")</f>
        <v/>
      </c>
    </row>
    <row r="11" spans="1:4" x14ac:dyDescent="0.3">
      <c r="A11" s="4">
        <v>45297</v>
      </c>
      <c r="B11" t="s">
        <v>30</v>
      </c>
      <c r="C11" t="str">
        <f>B11&amp;"_"&amp;A11</f>
        <v>PHBVB_45297</v>
      </c>
      <c r="D11" t="str">
        <f>IFERROR(INDEX(Sheet2!G:G,MATCH(Sheet1!C11,Sheet2!I:I,0)),"")</f>
        <v/>
      </c>
    </row>
    <row r="12" spans="1:4" x14ac:dyDescent="0.3">
      <c r="A12" s="4">
        <v>45298</v>
      </c>
      <c r="B12" t="s">
        <v>12</v>
      </c>
      <c r="C12" t="str">
        <f>B12&amp;"_"&amp;A12</f>
        <v>PHBHG_45298</v>
      </c>
      <c r="D12" t="str">
        <f>IFERROR(INDEX(Sheet2!G:G,MATCH(Sheet1!C12,Sheet2!I:I,0)),"")</f>
        <v/>
      </c>
    </row>
    <row r="13" spans="1:4" x14ac:dyDescent="0.3">
      <c r="A13" s="4">
        <v>45298</v>
      </c>
      <c r="B13" t="s">
        <v>32</v>
      </c>
      <c r="C13" t="str">
        <f>B13&amp;"_"&amp;A13</f>
        <v>PHBKD_45298</v>
      </c>
      <c r="D13" t="str">
        <f>IFERROR(INDEX(Sheet2!G:G,MATCH(Sheet1!C13,Sheet2!I:I,0)),"")</f>
        <v/>
      </c>
    </row>
    <row r="14" spans="1:4" x14ac:dyDescent="0.3">
      <c r="A14" s="4">
        <v>45298</v>
      </c>
      <c r="B14" t="s">
        <v>24</v>
      </c>
      <c r="C14" t="str">
        <f>B14&amp;"_"&amp;A14</f>
        <v>PHBQO_45298</v>
      </c>
      <c r="D14" t="str">
        <f>IFERROR(INDEX(Sheet2!G:G,MATCH(Sheet1!C14,Sheet2!I:I,0)),"")</f>
        <v/>
      </c>
    </row>
    <row r="15" spans="1:4" x14ac:dyDescent="0.3">
      <c r="A15" s="4">
        <v>45299</v>
      </c>
      <c r="B15" t="s">
        <v>20</v>
      </c>
      <c r="C15" t="str">
        <f>B15&amp;"_"&amp;A15</f>
        <v>PHBQK_45299</v>
      </c>
      <c r="D15" t="str">
        <f>IFERROR(INDEX(Sheet2!G:G,MATCH(Sheet1!C15,Sheet2!I:I,0)),"")</f>
        <v/>
      </c>
    </row>
    <row r="16" spans="1:4" x14ac:dyDescent="0.3">
      <c r="A16" s="4">
        <v>45301</v>
      </c>
      <c r="B16" t="s">
        <v>21</v>
      </c>
      <c r="C16" t="str">
        <f>B16&amp;"_"&amp;A16</f>
        <v>PHBQE_45301</v>
      </c>
      <c r="D16" t="str">
        <f>IFERROR(INDEX(Sheet2!G:G,MATCH(Sheet1!C16,Sheet2!I:I,0)),"")</f>
        <v/>
      </c>
    </row>
    <row r="17" spans="1:4" x14ac:dyDescent="0.3">
      <c r="A17" s="4">
        <v>45302</v>
      </c>
      <c r="B17" t="s">
        <v>22</v>
      </c>
      <c r="C17" t="str">
        <f>B17&amp;"_"&amp;A17</f>
        <v>PHBQL_45302</v>
      </c>
      <c r="D17" t="str">
        <f>IFERROR(INDEX(Sheet2!G:G,MATCH(Sheet1!C17,Sheet2!I:I,0)),"")</f>
        <v/>
      </c>
    </row>
    <row r="18" spans="1:4" x14ac:dyDescent="0.3">
      <c r="A18" s="4">
        <v>45302</v>
      </c>
      <c r="B18" t="s">
        <v>33</v>
      </c>
      <c r="C18" t="str">
        <f>B18&amp;"_"&amp;A18</f>
        <v>PHBKF_45302</v>
      </c>
      <c r="D18" t="str">
        <f>IFERROR(INDEX(Sheet2!G:G,MATCH(Sheet1!C18,Sheet2!I:I,0)),"")</f>
        <v/>
      </c>
    </row>
    <row r="19" spans="1:4" x14ac:dyDescent="0.3">
      <c r="A19" s="4">
        <v>45303</v>
      </c>
      <c r="B19" t="s">
        <v>44</v>
      </c>
      <c r="C19" t="str">
        <f>B19&amp;"_"&amp;A19</f>
        <v>PHBVG_45303</v>
      </c>
      <c r="D19" t="str">
        <f>IFERROR(INDEX(Sheet2!G:G,MATCH(Sheet1!C19,Sheet2!I:I,0)),"")</f>
        <v/>
      </c>
    </row>
    <row r="20" spans="1:4" x14ac:dyDescent="0.3">
      <c r="A20" s="4">
        <v>45304</v>
      </c>
      <c r="B20" t="s">
        <v>31</v>
      </c>
      <c r="C20" t="str">
        <f>B20&amp;"_"&amp;A20</f>
        <v>PHBKC_45304</v>
      </c>
      <c r="D20" t="str">
        <f>IFERROR(INDEX(Sheet2!G:G,MATCH(Sheet1!C20,Sheet2!I:I,0)),"")</f>
        <v/>
      </c>
    </row>
    <row r="21" spans="1:4" x14ac:dyDescent="0.3">
      <c r="A21" s="4">
        <v>45305</v>
      </c>
      <c r="B21" t="s">
        <v>32</v>
      </c>
      <c r="C21" t="str">
        <f>B21&amp;"_"&amp;A21</f>
        <v>PHBKD_45305</v>
      </c>
      <c r="D21" t="str">
        <f>IFERROR(INDEX(Sheet2!G:G,MATCH(Sheet1!C21,Sheet2!I:I,0)),"")</f>
        <v/>
      </c>
    </row>
    <row r="22" spans="1:4" x14ac:dyDescent="0.3">
      <c r="A22" s="4">
        <v>45305</v>
      </c>
      <c r="B22" t="s">
        <v>40</v>
      </c>
      <c r="C22" t="str">
        <f>B22&amp;"_"&amp;A22</f>
        <v>PHBVW_45305</v>
      </c>
      <c r="D22" t="str">
        <f>IFERROR(INDEX(Sheet2!G:G,MATCH(Sheet1!C22,Sheet2!I:I,0)),"")</f>
        <v/>
      </c>
    </row>
    <row r="23" spans="1:4" x14ac:dyDescent="0.3">
      <c r="A23" s="4">
        <v>45306</v>
      </c>
      <c r="B23" t="s">
        <v>18</v>
      </c>
      <c r="C23" t="str">
        <f>B23&amp;"_"&amp;A23</f>
        <v>PHBQC_45306</v>
      </c>
      <c r="D23" t="str">
        <f>IFERROR(INDEX(Sheet2!G:G,MATCH(Sheet1!C23,Sheet2!I:I,0)),"")</f>
        <v/>
      </c>
    </row>
    <row r="24" spans="1:4" x14ac:dyDescent="0.3">
      <c r="A24" s="4">
        <v>45306</v>
      </c>
      <c r="B24" t="s">
        <v>19</v>
      </c>
      <c r="C24" t="str">
        <f>B24&amp;"_"&amp;A24</f>
        <v>PHBQA_45306</v>
      </c>
      <c r="D24" t="str">
        <f>IFERROR(INDEX(Sheet2!G:G,MATCH(Sheet1!C24,Sheet2!I:I,0)),"")</f>
        <v/>
      </c>
    </row>
    <row r="25" spans="1:4" x14ac:dyDescent="0.3">
      <c r="A25" s="4">
        <v>45307</v>
      </c>
      <c r="B25" t="s">
        <v>44</v>
      </c>
      <c r="C25" t="str">
        <f>B25&amp;"_"&amp;A25</f>
        <v>PHBVG_45307</v>
      </c>
      <c r="D25" t="str">
        <f>IFERROR(INDEX(Sheet2!G:G,MATCH(Sheet1!C25,Sheet2!I:I,0)),"")</f>
        <v/>
      </c>
    </row>
    <row r="26" spans="1:4" x14ac:dyDescent="0.3">
      <c r="A26" s="4">
        <v>45309</v>
      </c>
      <c r="B26" t="s">
        <v>22</v>
      </c>
      <c r="C26" t="str">
        <f>B26&amp;"_"&amp;A26</f>
        <v>PHBQL_45309</v>
      </c>
      <c r="D26" t="str">
        <f>IFERROR(INDEX(Sheet2!G:G,MATCH(Sheet1!C26,Sheet2!I:I,0)),"")</f>
        <v/>
      </c>
    </row>
    <row r="27" spans="1:4" x14ac:dyDescent="0.3">
      <c r="A27" s="4">
        <v>45309</v>
      </c>
      <c r="B27" t="s">
        <v>32</v>
      </c>
      <c r="C27" t="str">
        <f>B27&amp;"_"&amp;A27</f>
        <v>PHBKD_45309</v>
      </c>
      <c r="D27" t="str">
        <f>IFERROR(INDEX(Sheet2!G:G,MATCH(Sheet1!C27,Sheet2!I:I,0)),"")</f>
        <v/>
      </c>
    </row>
    <row r="28" spans="1:4" x14ac:dyDescent="0.3">
      <c r="A28" s="4">
        <v>45310</v>
      </c>
      <c r="B28" t="s">
        <v>7</v>
      </c>
      <c r="C28" t="str">
        <f>B28&amp;"_"&amp;A28</f>
        <v>PHBHF_45310</v>
      </c>
      <c r="D28" t="str">
        <f>IFERROR(INDEX(Sheet2!G:G,MATCH(Sheet1!C28,Sheet2!I:I,0)),"")</f>
        <v/>
      </c>
    </row>
    <row r="29" spans="1:4" x14ac:dyDescent="0.3">
      <c r="A29" s="4">
        <v>45310</v>
      </c>
      <c r="B29" t="s">
        <v>24</v>
      </c>
      <c r="C29" t="str">
        <f>B29&amp;"_"&amp;A29</f>
        <v>PHBQO_45310</v>
      </c>
      <c r="D29" t="str">
        <f>IFERROR(INDEX(Sheet2!G:G,MATCH(Sheet1!C29,Sheet2!I:I,0)),"")</f>
        <v/>
      </c>
    </row>
    <row r="30" spans="1:4" x14ac:dyDescent="0.3">
      <c r="A30" s="4">
        <v>45310</v>
      </c>
      <c r="B30" t="s">
        <v>31</v>
      </c>
      <c r="C30" t="str">
        <f>B30&amp;"_"&amp;A30</f>
        <v>PHBKC_45310</v>
      </c>
      <c r="D30" t="str">
        <f>IFERROR(INDEX(Sheet2!G:G,MATCH(Sheet1!C30,Sheet2!I:I,0)),"")</f>
        <v/>
      </c>
    </row>
    <row r="31" spans="1:4" x14ac:dyDescent="0.3">
      <c r="A31" s="4">
        <v>45312</v>
      </c>
      <c r="B31" t="s">
        <v>10</v>
      </c>
      <c r="C31" t="str">
        <f>B31&amp;"_"&amp;A31</f>
        <v>PHBHP_45312</v>
      </c>
      <c r="D31" t="str">
        <f>IFERROR(INDEX(Sheet2!G:G,MATCH(Sheet1!C31,Sheet2!I:I,0)),"")</f>
        <v/>
      </c>
    </row>
    <row r="32" spans="1:4" x14ac:dyDescent="0.3">
      <c r="A32" s="4">
        <v>45312</v>
      </c>
      <c r="B32" t="s">
        <v>28</v>
      </c>
      <c r="C32" t="str">
        <f>B32&amp;"_"&amp;A32</f>
        <v>PHBQP_45312</v>
      </c>
      <c r="D32" t="str">
        <f>IFERROR(INDEX(Sheet2!G:G,MATCH(Sheet1!C32,Sheet2!I:I,0)),"")</f>
        <v/>
      </c>
    </row>
    <row r="33" spans="1:4" x14ac:dyDescent="0.3">
      <c r="A33" s="4">
        <v>45312</v>
      </c>
      <c r="B33" t="s">
        <v>33</v>
      </c>
      <c r="C33" t="str">
        <f>B33&amp;"_"&amp;A33</f>
        <v>PHBKF_45312</v>
      </c>
      <c r="D33" t="str">
        <f>IFERROR(INDEX(Sheet2!G:G,MATCH(Sheet1!C33,Sheet2!I:I,0)),"")</f>
        <v/>
      </c>
    </row>
    <row r="34" spans="1:4" x14ac:dyDescent="0.3">
      <c r="A34" s="4">
        <v>45314</v>
      </c>
      <c r="B34" t="s">
        <v>13</v>
      </c>
      <c r="C34" t="str">
        <f>B34&amp;"_"&amp;A34</f>
        <v>PHBHE_45314</v>
      </c>
      <c r="D34" t="str">
        <f>IFERROR(INDEX(Sheet2!G:G,MATCH(Sheet1!C34,Sheet2!I:I,0)),"")</f>
        <v/>
      </c>
    </row>
    <row r="35" spans="1:4" x14ac:dyDescent="0.3">
      <c r="A35" s="4">
        <v>45317</v>
      </c>
      <c r="B35" t="s">
        <v>19</v>
      </c>
      <c r="C35" t="str">
        <f>B35&amp;"_"&amp;A35</f>
        <v>PHBQA_45317</v>
      </c>
      <c r="D35" t="str">
        <f>IFERROR(INDEX(Sheet2!G:G,MATCH(Sheet1!C35,Sheet2!I:I,0)),"")</f>
        <v/>
      </c>
    </row>
    <row r="36" spans="1:4" x14ac:dyDescent="0.3">
      <c r="A36" s="4">
        <v>45317</v>
      </c>
      <c r="B36" t="s">
        <v>31</v>
      </c>
      <c r="C36" t="str">
        <f>B36&amp;"_"&amp;A36</f>
        <v>PHBKC_45317</v>
      </c>
      <c r="D36" t="str">
        <f>IFERROR(INDEX(Sheet2!G:G,MATCH(Sheet1!C36,Sheet2!I:I,0)),"")</f>
        <v/>
      </c>
    </row>
    <row r="37" spans="1:4" x14ac:dyDescent="0.3">
      <c r="A37" s="4">
        <v>45318</v>
      </c>
      <c r="B37" t="s">
        <v>34</v>
      </c>
      <c r="C37" t="str">
        <f>B37&amp;"_"&amp;A37</f>
        <v>PHBKG_45318</v>
      </c>
      <c r="D37" t="str">
        <f>IFERROR(INDEX(Sheet2!G:G,MATCH(Sheet1!C37,Sheet2!I:I,0)),"")</f>
        <v/>
      </c>
    </row>
    <row r="38" spans="1:4" x14ac:dyDescent="0.3">
      <c r="A38" s="4">
        <v>45319</v>
      </c>
      <c r="B38" t="s">
        <v>28</v>
      </c>
      <c r="C38" t="str">
        <f>B38&amp;"_"&amp;A38</f>
        <v>PHBQP_45319</v>
      </c>
      <c r="D38" t="str">
        <f>IFERROR(INDEX(Sheet2!G:G,MATCH(Sheet1!C38,Sheet2!I:I,0)),"")</f>
        <v/>
      </c>
    </row>
    <row r="39" spans="1:4" x14ac:dyDescent="0.3">
      <c r="A39" s="4">
        <v>45319</v>
      </c>
      <c r="B39" t="s">
        <v>36</v>
      </c>
      <c r="C39" t="str">
        <f>B39&amp;"_"&amp;A39</f>
        <v>PHBKA_45319</v>
      </c>
      <c r="D39" t="str">
        <f>IFERROR(INDEX(Sheet2!G:G,MATCH(Sheet1!C39,Sheet2!I:I,0)),"")</f>
        <v/>
      </c>
    </row>
    <row r="40" spans="1:4" x14ac:dyDescent="0.3">
      <c r="A40" s="4">
        <v>45321</v>
      </c>
      <c r="B40" t="s">
        <v>14</v>
      </c>
      <c r="C40" t="str">
        <f>B40&amp;"_"&amp;A40</f>
        <v>PHBHH_45321</v>
      </c>
      <c r="D40" t="str">
        <f>IFERROR(INDEX(Sheet2!G:G,MATCH(Sheet1!C40,Sheet2!I:I,0)),"")</f>
        <v/>
      </c>
    </row>
    <row r="41" spans="1:4" x14ac:dyDescent="0.3">
      <c r="A41" s="4">
        <v>45321</v>
      </c>
      <c r="B41" t="s">
        <v>32</v>
      </c>
      <c r="C41" t="str">
        <f>B41&amp;"_"&amp;A41</f>
        <v>PHBKD_45321</v>
      </c>
      <c r="D41" t="str">
        <f>IFERROR(INDEX(Sheet2!G:G,MATCH(Sheet1!C41,Sheet2!I:I,0)),"")</f>
        <v/>
      </c>
    </row>
    <row r="42" spans="1:4" x14ac:dyDescent="0.3">
      <c r="A42" s="4">
        <v>45323</v>
      </c>
      <c r="B42" t="s">
        <v>37</v>
      </c>
      <c r="C42" t="str">
        <f>B42&amp;"_"&amp;A42</f>
        <v>PHBVO_45323</v>
      </c>
      <c r="D42" t="str">
        <f>IFERROR(INDEX(Sheet2!G:G,MATCH(Sheet1!C42,Sheet2!I:I,0)),"")</f>
        <v/>
      </c>
    </row>
    <row r="43" spans="1:4" x14ac:dyDescent="0.3">
      <c r="A43" s="4">
        <v>45324</v>
      </c>
      <c r="B43" t="s">
        <v>2</v>
      </c>
      <c r="C43" t="str">
        <f>B43&amp;"_"&amp;A43</f>
        <v>PHBHI_45324</v>
      </c>
      <c r="D43" t="str">
        <f>IFERROR(INDEX(Sheet2!G:G,MATCH(Sheet1!C43,Sheet2!I:I,0)),"")</f>
        <v/>
      </c>
    </row>
    <row r="44" spans="1:4" x14ac:dyDescent="0.3">
      <c r="A44" s="4">
        <v>45325</v>
      </c>
      <c r="B44" t="s">
        <v>22</v>
      </c>
      <c r="C44" t="str">
        <f>B44&amp;"_"&amp;A44</f>
        <v>PHBQL_45325</v>
      </c>
      <c r="D44" t="str">
        <f>IFERROR(INDEX(Sheet2!G:G,MATCH(Sheet1!C44,Sheet2!I:I,0)),"")</f>
        <v/>
      </c>
    </row>
    <row r="45" spans="1:4" x14ac:dyDescent="0.3">
      <c r="A45" s="4">
        <v>45326</v>
      </c>
      <c r="B45" t="s">
        <v>3</v>
      </c>
      <c r="C45" t="str">
        <f>B45&amp;"_"&amp;A45</f>
        <v>PHBHA_45326</v>
      </c>
      <c r="D45" t="str">
        <f>IFERROR(INDEX(Sheet2!G:G,MATCH(Sheet1!C45,Sheet2!I:I,0)),"")</f>
        <v>OPER PH-BHA - SIDE RAIL CRACK - POSN 34R and 41R ( OR 33P) REMAIN EMPTY</v>
      </c>
    </row>
    <row r="46" spans="1:4" x14ac:dyDescent="0.3">
      <c r="A46" s="4">
        <v>45326</v>
      </c>
      <c r="B46" t="s">
        <v>29</v>
      </c>
      <c r="C46" t="str">
        <f>B46&amp;"_"&amp;A46</f>
        <v>PHBQB_45326</v>
      </c>
      <c r="D46" t="str">
        <f>IFERROR(INDEX(Sheet2!G:G,MATCH(Sheet1!C46,Sheet2!I:I,0)),"")</f>
        <v/>
      </c>
    </row>
    <row r="47" spans="1:4" x14ac:dyDescent="0.3">
      <c r="A47" s="4">
        <v>45328</v>
      </c>
      <c r="B47" t="s">
        <v>31</v>
      </c>
      <c r="C47" t="str">
        <f>B47&amp;"_"&amp;A47</f>
        <v>PHBKC_45328</v>
      </c>
      <c r="D47" t="str">
        <f>IFERROR(INDEX(Sheet2!G:G,MATCH(Sheet1!C47,Sheet2!I:I,0)),"")</f>
        <v/>
      </c>
    </row>
    <row r="48" spans="1:4" x14ac:dyDescent="0.3">
      <c r="A48" s="4">
        <v>45329</v>
      </c>
      <c r="B48" t="s">
        <v>24</v>
      </c>
      <c r="C48" t="str">
        <f>B48&amp;"_"&amp;A48</f>
        <v>PHBQO_45329</v>
      </c>
      <c r="D48" t="str">
        <f>IFERROR(INDEX(Sheet2!G:G,MATCH(Sheet1!C48,Sheet2!I:I,0)),"")</f>
        <v/>
      </c>
    </row>
    <row r="49" spans="1:4" x14ac:dyDescent="0.3">
      <c r="A49" s="4">
        <v>45330</v>
      </c>
      <c r="B49" t="s">
        <v>4</v>
      </c>
      <c r="C49" t="str">
        <f>B49&amp;"_"&amp;A49</f>
        <v>PHBKH_45330</v>
      </c>
      <c r="D49" t="str">
        <f>IFERROR(INDEX(Sheet2!G:G,MATCH(Sheet1!C49,Sheet2!I:I,0)),"")</f>
        <v>OPER PH-BKH - DUTEC HOLD 3-4 REMAIN EMPTY - EXCEPT FOR 1 PAG PLT</v>
      </c>
    </row>
    <row r="50" spans="1:4" x14ac:dyDescent="0.3">
      <c r="A50" s="4">
        <v>45330</v>
      </c>
      <c r="B50" t="s">
        <v>23</v>
      </c>
      <c r="C50" t="str">
        <f>B50&amp;"_"&amp;A50</f>
        <v>PHBQD_45330</v>
      </c>
      <c r="D50" t="str">
        <f>IFERROR(INDEX(Sheet2!G:G,MATCH(Sheet1!C50,Sheet2!I:I,0)),"")</f>
        <v/>
      </c>
    </row>
    <row r="51" spans="1:4" x14ac:dyDescent="0.3">
      <c r="A51" s="4">
        <v>45330</v>
      </c>
      <c r="B51" t="s">
        <v>22</v>
      </c>
      <c r="C51" t="str">
        <f>B51&amp;"_"&amp;A51</f>
        <v>PHBQL_45330</v>
      </c>
      <c r="D51" t="str">
        <f>IFERROR(INDEX(Sheet2!G:G,MATCH(Sheet1!C51,Sheet2!I:I,0)),"")</f>
        <v/>
      </c>
    </row>
    <row r="52" spans="1:4" x14ac:dyDescent="0.3">
      <c r="A52" s="4">
        <v>45331</v>
      </c>
      <c r="B52" t="s">
        <v>5</v>
      </c>
      <c r="C52" t="str">
        <f>B52&amp;"_"&amp;A52</f>
        <v>PHBHL_45331</v>
      </c>
      <c r="D52" t="str">
        <f>IFERROR(INDEX(Sheet2!G:G,MATCH(Sheet1!C52,Sheet2!I:I,0)),"")</f>
        <v/>
      </c>
    </row>
    <row r="53" spans="1:4" x14ac:dyDescent="0.3">
      <c r="A53" s="4">
        <v>45331</v>
      </c>
      <c r="B53" t="s">
        <v>21</v>
      </c>
      <c r="C53" t="str">
        <f>B53&amp;"_"&amp;A53</f>
        <v>PHBQE_45331</v>
      </c>
      <c r="D53" t="str">
        <f>IFERROR(INDEX(Sheet2!G:G,MATCH(Sheet1!C53,Sheet2!I:I,0)),"")</f>
        <v/>
      </c>
    </row>
    <row r="54" spans="1:4" x14ac:dyDescent="0.3">
      <c r="A54" s="4">
        <v>45331</v>
      </c>
      <c r="B54" t="s">
        <v>8</v>
      </c>
      <c r="C54" t="str">
        <f>B54&amp;"_"&amp;A54</f>
        <v>PHBQN_45331</v>
      </c>
      <c r="D54" t="str">
        <f>IFERROR(INDEX(Sheet2!G:G,MATCH(Sheet1!C54,Sheet2!I:I,0)),"")</f>
        <v/>
      </c>
    </row>
    <row r="55" spans="1:4" x14ac:dyDescent="0.3">
      <c r="A55" s="4">
        <v>45331</v>
      </c>
      <c r="B55" t="s">
        <v>38</v>
      </c>
      <c r="C55" t="str">
        <f>B55&amp;"_"&amp;A55</f>
        <v>PHBVF_45331</v>
      </c>
      <c r="D55" t="str">
        <f>IFERROR(INDEX(Sheet2!G:G,MATCH(Sheet1!C55,Sheet2!I:I,0)),"")</f>
        <v/>
      </c>
    </row>
    <row r="56" spans="1:4" x14ac:dyDescent="0.3">
      <c r="A56" s="4">
        <v>45332</v>
      </c>
      <c r="B56" t="s">
        <v>24</v>
      </c>
      <c r="C56" t="str">
        <f>B56&amp;"_"&amp;A56</f>
        <v>PHBQO_45332</v>
      </c>
      <c r="D56" t="str">
        <f>IFERROR(INDEX(Sheet2!G:G,MATCH(Sheet1!C56,Sheet2!I:I,0)),"")</f>
        <v/>
      </c>
    </row>
    <row r="57" spans="1:4" x14ac:dyDescent="0.3">
      <c r="A57" s="4">
        <v>45332</v>
      </c>
      <c r="B57" t="s">
        <v>32</v>
      </c>
      <c r="C57" t="str">
        <f>B57&amp;"_"&amp;A57</f>
        <v>PHBKD_45332</v>
      </c>
      <c r="D57" t="str">
        <f>IFERROR(INDEX(Sheet2!G:G,MATCH(Sheet1!C57,Sheet2!I:I,0)),"")</f>
        <v/>
      </c>
    </row>
    <row r="58" spans="1:4" x14ac:dyDescent="0.3">
      <c r="A58" s="4">
        <v>45332</v>
      </c>
      <c r="B58" t="s">
        <v>39</v>
      </c>
      <c r="C58" t="str">
        <f>B58&amp;"_"&amp;A58</f>
        <v>PHBVS_45332</v>
      </c>
      <c r="D58" t="str">
        <f>IFERROR(INDEX(Sheet2!G:G,MATCH(Sheet1!C58,Sheet2!I:I,0)),"")</f>
        <v/>
      </c>
    </row>
    <row r="59" spans="1:4" x14ac:dyDescent="0.3">
      <c r="A59" s="4">
        <v>45333</v>
      </c>
      <c r="B59" t="s">
        <v>17</v>
      </c>
      <c r="C59" t="str">
        <f>B59&amp;"_"&amp;A59</f>
        <v>PHBQG_45333</v>
      </c>
      <c r="D59" t="str">
        <f>IFERROR(INDEX(Sheet2!G:G,MATCH(Sheet1!C59,Sheet2!I:I,0)),"")</f>
        <v/>
      </c>
    </row>
    <row r="60" spans="1:4" x14ac:dyDescent="0.3">
      <c r="A60" s="4">
        <v>45334</v>
      </c>
      <c r="B60" t="s">
        <v>3</v>
      </c>
      <c r="C60" t="str">
        <f>B60&amp;"_"&amp;A60</f>
        <v>PHBHA_45334</v>
      </c>
      <c r="D60" t="str">
        <f>IFERROR(INDEX(Sheet2!G:G,MATCH(Sheet1!C60,Sheet2!I:I,0)),"")</f>
        <v>OPER PH-BHA - SIDE RAIL CRACK - POSN 34R and 41R ( OR 33P) REMAIN EMPTY</v>
      </c>
    </row>
    <row r="61" spans="1:4" x14ac:dyDescent="0.3">
      <c r="A61" s="4">
        <v>45334</v>
      </c>
      <c r="B61" t="s">
        <v>30</v>
      </c>
      <c r="C61" t="str">
        <f>B61&amp;"_"&amp;A61</f>
        <v>PHBVB_45334</v>
      </c>
      <c r="D61" t="str">
        <f>IFERROR(INDEX(Sheet2!G:G,MATCH(Sheet1!C61,Sheet2!I:I,0)),"")</f>
        <v/>
      </c>
    </row>
    <row r="62" spans="1:4" x14ac:dyDescent="0.3">
      <c r="A62" s="4">
        <v>45335</v>
      </c>
      <c r="B62" t="s">
        <v>23</v>
      </c>
      <c r="C62" t="str">
        <f>B62&amp;"_"&amp;A62</f>
        <v>PHBQD_45335</v>
      </c>
      <c r="D62" t="str">
        <f>IFERROR(INDEX(Sheet2!G:G,MATCH(Sheet1!C62,Sheet2!I:I,0)),"")</f>
        <v/>
      </c>
    </row>
    <row r="63" spans="1:4" x14ac:dyDescent="0.3">
      <c r="A63" s="4">
        <v>45335</v>
      </c>
      <c r="B63" t="s">
        <v>38</v>
      </c>
      <c r="C63" t="str">
        <f>B63&amp;"_"&amp;A63</f>
        <v>PHBVF_45335</v>
      </c>
      <c r="D63" t="str">
        <f>IFERROR(INDEX(Sheet2!G:G,MATCH(Sheet1!C63,Sheet2!I:I,0)),"")</f>
        <v/>
      </c>
    </row>
    <row r="64" spans="1:4" x14ac:dyDescent="0.3">
      <c r="A64" s="4">
        <v>45336</v>
      </c>
      <c r="B64" t="s">
        <v>6</v>
      </c>
      <c r="C64" t="str">
        <f>B64&amp;"_"&amp;A64</f>
        <v>PHBHN_45336</v>
      </c>
      <c r="D64" t="str">
        <f>IFERROR(INDEX(Sheet2!G:G,MATCH(Sheet1!C64,Sheet2!I:I,0)),"")</f>
        <v/>
      </c>
    </row>
    <row r="65" spans="1:4" x14ac:dyDescent="0.3">
      <c r="A65" s="4">
        <v>45336</v>
      </c>
      <c r="B65" t="s">
        <v>25</v>
      </c>
      <c r="C65" t="str">
        <f>B65&amp;"_"&amp;A65</f>
        <v>PHBQF_45336</v>
      </c>
      <c r="D65" t="str">
        <f>IFERROR(INDEX(Sheet2!G:G,MATCH(Sheet1!C65,Sheet2!I:I,0)),"")</f>
        <v/>
      </c>
    </row>
    <row r="66" spans="1:4" x14ac:dyDescent="0.3">
      <c r="A66" s="4">
        <v>45337</v>
      </c>
      <c r="B66" t="s">
        <v>22</v>
      </c>
      <c r="C66" t="str">
        <f>B66&amp;"_"&amp;A66</f>
        <v>PHBQL_45337</v>
      </c>
      <c r="D66" t="str">
        <f>IFERROR(INDEX(Sheet2!G:G,MATCH(Sheet1!C66,Sheet2!I:I,0)),"")</f>
        <v/>
      </c>
    </row>
    <row r="67" spans="1:4" x14ac:dyDescent="0.3">
      <c r="A67" s="4">
        <v>45337</v>
      </c>
      <c r="B67" t="s">
        <v>40</v>
      </c>
      <c r="C67" t="str">
        <f>B67&amp;"_"&amp;A67</f>
        <v>PHBVW_45337</v>
      </c>
      <c r="D67" t="str">
        <f>IFERROR(INDEX(Sheet2!G:G,MATCH(Sheet1!C67,Sheet2!I:I,0)),"")</f>
        <v/>
      </c>
    </row>
    <row r="68" spans="1:4" x14ac:dyDescent="0.3">
      <c r="A68" s="4">
        <v>45338</v>
      </c>
      <c r="B68" t="s">
        <v>7</v>
      </c>
      <c r="C68" t="str">
        <f>B68&amp;"_"&amp;A68</f>
        <v>PHBHF_45338</v>
      </c>
      <c r="D68" t="str">
        <f>IFERROR(INDEX(Sheet2!G:G,MATCH(Sheet1!C68,Sheet2!I:I,0)),"")</f>
        <v/>
      </c>
    </row>
    <row r="69" spans="1:4" x14ac:dyDescent="0.3">
      <c r="A69" s="4">
        <v>45338</v>
      </c>
      <c r="B69" t="s">
        <v>33</v>
      </c>
      <c r="C69" t="str">
        <f>B69&amp;"_"&amp;A69</f>
        <v>PHBKF_45338</v>
      </c>
      <c r="D69" t="str">
        <f>IFERROR(INDEX(Sheet2!G:G,MATCH(Sheet1!C69,Sheet2!I:I,0)),"")</f>
        <v/>
      </c>
    </row>
    <row r="70" spans="1:4" x14ac:dyDescent="0.3">
      <c r="A70" s="4">
        <v>45338</v>
      </c>
      <c r="B70" t="s">
        <v>38</v>
      </c>
      <c r="C70" t="str">
        <f>B70&amp;"_"&amp;A70</f>
        <v>PHBVF_45338</v>
      </c>
      <c r="D70" t="str">
        <f>IFERROR(INDEX(Sheet2!G:G,MATCH(Sheet1!C70,Sheet2!I:I,0)),"")</f>
        <v/>
      </c>
    </row>
    <row r="71" spans="1:4" x14ac:dyDescent="0.3">
      <c r="A71" s="4">
        <v>45339</v>
      </c>
      <c r="B71" t="s">
        <v>34</v>
      </c>
      <c r="C71" t="str">
        <f>B71&amp;"_"&amp;A71</f>
        <v>PHBKG_45339</v>
      </c>
      <c r="D71" t="str">
        <f>IFERROR(INDEX(Sheet2!G:G,MATCH(Sheet1!C71,Sheet2!I:I,0)),"")</f>
        <v>OPER PH-BKG - AFT CARGO PANELS U/S - AFT HOLD TO REMAIN EMPTY</v>
      </c>
    </row>
    <row r="72" spans="1:4" x14ac:dyDescent="0.3">
      <c r="A72" s="4">
        <v>45340</v>
      </c>
      <c r="B72" t="s">
        <v>21</v>
      </c>
      <c r="C72" t="str">
        <f>B72&amp;"_"&amp;A72</f>
        <v>PHBQE_45340</v>
      </c>
      <c r="D72" t="str">
        <f>IFERROR(INDEX(Sheet2!G:G,MATCH(Sheet1!C72,Sheet2!I:I,0)),"")</f>
        <v/>
      </c>
    </row>
    <row r="73" spans="1:4" x14ac:dyDescent="0.3">
      <c r="A73" s="4">
        <v>45341</v>
      </c>
      <c r="B73" t="s">
        <v>2</v>
      </c>
      <c r="C73" t="str">
        <f>B73&amp;"_"&amp;A73</f>
        <v>PHBHI_45341</v>
      </c>
      <c r="D73" t="str">
        <f>IFERROR(INDEX(Sheet2!G:G,MATCH(Sheet1!C73,Sheet2!I:I,0)),"")</f>
        <v/>
      </c>
    </row>
    <row r="74" spans="1:4" x14ac:dyDescent="0.3">
      <c r="A74" s="4">
        <v>45342</v>
      </c>
      <c r="B74" t="s">
        <v>41</v>
      </c>
      <c r="C74" t="str">
        <f>B74&amp;"_"&amp;A74</f>
        <v>PHBVR_45342</v>
      </c>
      <c r="D74" t="str">
        <f>IFERROR(INDEX(Sheet2!G:G,MATCH(Sheet1!C74,Sheet2!I:I,0)),"")</f>
        <v/>
      </c>
    </row>
    <row r="75" spans="1:4" x14ac:dyDescent="0.3">
      <c r="A75" s="4">
        <v>45343</v>
      </c>
      <c r="B75" t="s">
        <v>23</v>
      </c>
      <c r="C75" t="str">
        <f>B75&amp;"_"&amp;A75</f>
        <v>PHBQD_45343</v>
      </c>
      <c r="D75" t="str">
        <f>IFERROR(INDEX(Sheet2!G:G,MATCH(Sheet1!C75,Sheet2!I:I,0)),"")</f>
        <v>OPER PH-BQD DUTEC POSN 42L/R REMAIN EMPTY</v>
      </c>
    </row>
    <row r="76" spans="1:4" x14ac:dyDescent="0.3">
      <c r="A76" s="4">
        <v>45343</v>
      </c>
      <c r="B76" t="s">
        <v>33</v>
      </c>
      <c r="C76" t="str">
        <f>B76&amp;"_"&amp;A76</f>
        <v>PHBKF_45343</v>
      </c>
      <c r="D76" t="str">
        <f>IFERROR(INDEX(Sheet2!G:G,MATCH(Sheet1!C76,Sheet2!I:I,0)),"")</f>
        <v/>
      </c>
    </row>
    <row r="77" spans="1:4" x14ac:dyDescent="0.3">
      <c r="A77" s="4">
        <v>45344</v>
      </c>
      <c r="B77" t="s">
        <v>2</v>
      </c>
      <c r="C77" t="str">
        <f>B77&amp;"_"&amp;A77</f>
        <v>PHBHI_45344</v>
      </c>
      <c r="D77" t="str">
        <f>IFERROR(INDEX(Sheet2!G:G,MATCH(Sheet1!C77,Sheet2!I:I,0)),"")</f>
        <v/>
      </c>
    </row>
    <row r="78" spans="1:4" x14ac:dyDescent="0.3">
      <c r="A78" s="4">
        <v>45344</v>
      </c>
      <c r="B78" t="s">
        <v>20</v>
      </c>
      <c r="C78" t="str">
        <f>B78&amp;"_"&amp;A78</f>
        <v>PHBQK_45344</v>
      </c>
      <c r="D78" t="str">
        <f>IFERROR(INDEX(Sheet2!G:G,MATCH(Sheet1!C78,Sheet2!I:I,0)),"")</f>
        <v/>
      </c>
    </row>
    <row r="79" spans="1:4" x14ac:dyDescent="0.3">
      <c r="A79" s="4">
        <v>45344</v>
      </c>
      <c r="B79" t="s">
        <v>4</v>
      </c>
      <c r="C79" t="str">
        <f>B79&amp;"_"&amp;A79</f>
        <v>PHBKH_45344</v>
      </c>
      <c r="D79" t="str">
        <f>IFERROR(INDEX(Sheet2!G:G,MATCH(Sheet1!C79,Sheet2!I:I,0)),"")</f>
        <v/>
      </c>
    </row>
    <row r="80" spans="1:4" x14ac:dyDescent="0.3">
      <c r="A80" s="4">
        <v>45344</v>
      </c>
      <c r="B80" t="s">
        <v>42</v>
      </c>
      <c r="C80" t="str">
        <f>B80&amp;"_"&amp;A80</f>
        <v>PHBVU_45344</v>
      </c>
      <c r="D80" t="str">
        <f>IFERROR(INDEX(Sheet2!G:G,MATCH(Sheet1!C80,Sheet2!I:I,0)),"")</f>
        <v>OPER PH-BVU DUTEC POSN 42P REMAIN EMPTY</v>
      </c>
    </row>
    <row r="81" spans="1:4" x14ac:dyDescent="0.3">
      <c r="A81" s="4">
        <v>45345</v>
      </c>
      <c r="B81" t="s">
        <v>2</v>
      </c>
      <c r="C81" t="str">
        <f>B81&amp;"_"&amp;A81</f>
        <v>PHBHI_45345</v>
      </c>
      <c r="D81" t="str">
        <f>IFERROR(INDEX(Sheet2!G:G,MATCH(Sheet1!C81,Sheet2!I:I,0)),"")</f>
        <v/>
      </c>
    </row>
    <row r="82" spans="1:4" x14ac:dyDescent="0.3">
      <c r="A82" s="4">
        <v>45345</v>
      </c>
      <c r="B82" t="s">
        <v>25</v>
      </c>
      <c r="C82" t="str">
        <f>B82&amp;"_"&amp;A82</f>
        <v>PHBQF_45345</v>
      </c>
      <c r="D82" t="str">
        <f>IFERROR(INDEX(Sheet2!G:G,MATCH(Sheet1!C82,Sheet2!I:I,0)),"")</f>
        <v/>
      </c>
    </row>
    <row r="83" spans="1:4" x14ac:dyDescent="0.3">
      <c r="A83" s="4">
        <v>45345</v>
      </c>
      <c r="B83" t="s">
        <v>12</v>
      </c>
      <c r="C83" t="str">
        <f>B83&amp;"_"&amp;A83</f>
        <v>PHBHG_45345</v>
      </c>
      <c r="D83" t="str">
        <f>IFERROR(INDEX(Sheet2!G:G,MATCH(Sheet1!C83,Sheet2!I:I,0)),"")</f>
        <v/>
      </c>
    </row>
    <row r="84" spans="1:4" x14ac:dyDescent="0.3">
      <c r="A84" s="4">
        <v>45346</v>
      </c>
      <c r="B84" t="s">
        <v>35</v>
      </c>
      <c r="C84" t="str">
        <f>B84&amp;"_"&amp;A84</f>
        <v>PHBKI_45346</v>
      </c>
      <c r="D84" t="str">
        <f>IFERROR(INDEX(Sheet2!G:G,MATCH(Sheet1!C84,Sheet2!I:I,0)),"")</f>
        <v/>
      </c>
    </row>
    <row r="85" spans="1:4" x14ac:dyDescent="0.3">
      <c r="A85" s="4">
        <v>45347</v>
      </c>
      <c r="B85" t="s">
        <v>26</v>
      </c>
      <c r="C85" t="str">
        <f>B85&amp;"_"&amp;A85</f>
        <v>PHBQH_45347</v>
      </c>
      <c r="D85" t="str">
        <f>IFERROR(INDEX(Sheet2!G:G,MATCH(Sheet1!C85,Sheet2!I:I,0)),"")</f>
        <v/>
      </c>
    </row>
    <row r="86" spans="1:4" x14ac:dyDescent="0.3">
      <c r="A86" s="4">
        <v>45347</v>
      </c>
      <c r="B86" t="s">
        <v>34</v>
      </c>
      <c r="C86" t="str">
        <f>B86&amp;"_"&amp;A86</f>
        <v>PHBKG_45347</v>
      </c>
      <c r="D86" t="str">
        <f>IFERROR(INDEX(Sheet2!G:G,MATCH(Sheet1!C86,Sheet2!I:I,0)),"")</f>
        <v/>
      </c>
    </row>
    <row r="87" spans="1:4" x14ac:dyDescent="0.3">
      <c r="A87" s="4">
        <v>45348</v>
      </c>
      <c r="B87" t="s">
        <v>9</v>
      </c>
      <c r="C87" t="str">
        <f>B87&amp;"_"&amp;A87</f>
        <v>PHBQM_45348</v>
      </c>
      <c r="D87" t="str">
        <f>IFERROR(INDEX(Sheet2!G:G,MATCH(Sheet1!C87,Sheet2!I:I,0)),"")</f>
        <v/>
      </c>
    </row>
    <row r="88" spans="1:4" x14ac:dyDescent="0.3">
      <c r="A88" s="4">
        <v>45348</v>
      </c>
      <c r="B88" t="s">
        <v>32</v>
      </c>
      <c r="C88" t="str">
        <f>B88&amp;"_"&amp;A88</f>
        <v>PHBKD_45348</v>
      </c>
      <c r="D88" t="str">
        <f>IFERROR(INDEX(Sheet2!G:G,MATCH(Sheet1!C88,Sheet2!I:I,0)),"")</f>
        <v/>
      </c>
    </row>
    <row r="89" spans="1:4" x14ac:dyDescent="0.3">
      <c r="A89" s="4">
        <v>45349</v>
      </c>
      <c r="B89" t="s">
        <v>8</v>
      </c>
      <c r="C89" t="str">
        <f>B89&amp;"_"&amp;A89</f>
        <v>PHBQN_45349</v>
      </c>
      <c r="D89" t="str">
        <f>IFERROR(INDEX(Sheet2!G:G,MATCH(Sheet1!C89,Sheet2!I:I,0)),"")</f>
        <v/>
      </c>
    </row>
    <row r="90" spans="1:4" x14ac:dyDescent="0.3">
      <c r="A90" s="4">
        <v>45349</v>
      </c>
      <c r="B90" t="s">
        <v>35</v>
      </c>
      <c r="C90" t="str">
        <f>B90&amp;"_"&amp;A90</f>
        <v>PHBKI_45349</v>
      </c>
      <c r="D90" t="str">
        <f>IFERROR(INDEX(Sheet2!G:G,MATCH(Sheet1!C90,Sheet2!I:I,0)),"")</f>
        <v/>
      </c>
    </row>
    <row r="91" spans="1:4" x14ac:dyDescent="0.3">
      <c r="A91" s="4">
        <v>45349</v>
      </c>
      <c r="B91" t="s">
        <v>43</v>
      </c>
      <c r="C91" t="str">
        <f>B91&amp;"_"&amp;A91</f>
        <v>PHBVA_45349</v>
      </c>
      <c r="D91" t="str">
        <f>IFERROR(INDEX(Sheet2!G:G,MATCH(Sheet1!C91,Sheet2!I:I,0)),"")</f>
        <v/>
      </c>
    </row>
    <row r="92" spans="1:4" x14ac:dyDescent="0.3">
      <c r="A92" s="4">
        <v>45350</v>
      </c>
      <c r="B92" t="s">
        <v>9</v>
      </c>
      <c r="C92" t="str">
        <f>B92&amp;"_"&amp;A92</f>
        <v>PHBQM_45350</v>
      </c>
      <c r="D92" t="str">
        <f>IFERROR(INDEX(Sheet2!G:G,MATCH(Sheet1!C92,Sheet2!I:I,0)),"")</f>
        <v/>
      </c>
    </row>
    <row r="93" spans="1:4" x14ac:dyDescent="0.3">
      <c r="A93" s="4">
        <v>45352</v>
      </c>
      <c r="B93" t="s">
        <v>15</v>
      </c>
      <c r="C93" t="str">
        <f>B93&amp;"_"&amp;A93</f>
        <v>PHBHC_45352</v>
      </c>
      <c r="D93" t="str">
        <f>IFERROR(INDEX(Sheet2!G:G,MATCH(Sheet1!C93,Sheet2!I:I,0)),"")</f>
        <v/>
      </c>
    </row>
    <row r="94" spans="1:4" x14ac:dyDescent="0.3">
      <c r="A94" s="4">
        <v>45352</v>
      </c>
      <c r="B94" t="s">
        <v>28</v>
      </c>
      <c r="C94" t="str">
        <f>B94&amp;"_"&amp;A94</f>
        <v>PHBQP_45352</v>
      </c>
      <c r="D94" t="str">
        <f>IFERROR(INDEX(Sheet2!G:G,MATCH(Sheet1!C94,Sheet2!I:I,0)),"")</f>
        <v/>
      </c>
    </row>
    <row r="95" spans="1:4" x14ac:dyDescent="0.3">
      <c r="A95" s="4">
        <v>45352</v>
      </c>
      <c r="B95" t="s">
        <v>46</v>
      </c>
      <c r="C95" t="str">
        <f>B95&amp;"_"&amp;A95</f>
        <v>PHBVP_45352</v>
      </c>
      <c r="D95" t="str">
        <f>IFERROR(INDEX(Sheet2!G:G,MATCH(Sheet1!C95,Sheet2!I:I,0)),"")</f>
        <v/>
      </c>
    </row>
    <row r="96" spans="1:4" x14ac:dyDescent="0.3">
      <c r="A96" s="4">
        <v>45353</v>
      </c>
      <c r="B96" t="s">
        <v>34</v>
      </c>
      <c r="C96" t="str">
        <f>B96&amp;"_"&amp;A96</f>
        <v>PHBKG_45353</v>
      </c>
      <c r="D96" t="str">
        <f>IFERROR(INDEX(Sheet2!G:G,MATCH(Sheet1!C96,Sheet2!I:I,0)),"")</f>
        <v/>
      </c>
    </row>
    <row r="97" spans="1:4" x14ac:dyDescent="0.3">
      <c r="A97" s="4">
        <v>45354</v>
      </c>
      <c r="B97" t="s">
        <v>2</v>
      </c>
      <c r="C97" t="str">
        <f>B97&amp;"_"&amp;A97</f>
        <v>PHBHI_45354</v>
      </c>
      <c r="D97" t="str">
        <f>IFERROR(INDEX(Sheet2!G:G,MATCH(Sheet1!C97,Sheet2!I:I,0)),"")</f>
        <v/>
      </c>
    </row>
    <row r="98" spans="1:4" x14ac:dyDescent="0.3">
      <c r="A98" s="4">
        <v>45354</v>
      </c>
      <c r="B98" t="s">
        <v>32</v>
      </c>
      <c r="C98" t="str">
        <f>B98&amp;"_"&amp;A98</f>
        <v>PHBKD_45354</v>
      </c>
      <c r="D98" t="str">
        <f>IFERROR(INDEX(Sheet2!G:G,MATCH(Sheet1!C98,Sheet2!I:I,0)),"")</f>
        <v/>
      </c>
    </row>
    <row r="99" spans="1:4" x14ac:dyDescent="0.3">
      <c r="A99" s="4">
        <v>45354</v>
      </c>
      <c r="B99" t="s">
        <v>47</v>
      </c>
      <c r="C99" t="str">
        <f>B99&amp;"_"&amp;A99</f>
        <v>PHBVK_45354</v>
      </c>
      <c r="D99" t="str">
        <f>IFERROR(INDEX(Sheet2!G:G,MATCH(Sheet1!C99,Sheet2!I:I,0)),"")</f>
        <v/>
      </c>
    </row>
    <row r="100" spans="1:4" x14ac:dyDescent="0.3">
      <c r="A100" s="4">
        <v>45355</v>
      </c>
      <c r="B100" t="s">
        <v>19</v>
      </c>
      <c r="C100" t="str">
        <f>B100&amp;"_"&amp;A100</f>
        <v>PHBQA_45355</v>
      </c>
      <c r="D100" t="str">
        <f>IFERROR(INDEX(Sheet2!G:G,MATCH(Sheet1!C100,Sheet2!I:I,0)),"")</f>
        <v/>
      </c>
    </row>
    <row r="101" spans="1:4" x14ac:dyDescent="0.3">
      <c r="A101" s="4">
        <v>45355</v>
      </c>
      <c r="B101" t="s">
        <v>36</v>
      </c>
      <c r="C101" t="str">
        <f>B101&amp;"_"&amp;A101</f>
        <v>PHBKA_45355</v>
      </c>
      <c r="D101" t="str">
        <f>IFERROR(INDEX(Sheet2!G:G,MATCH(Sheet1!C101,Sheet2!I:I,0)),"")</f>
        <v/>
      </c>
    </row>
    <row r="102" spans="1:4" x14ac:dyDescent="0.3">
      <c r="A102" s="4">
        <v>45355</v>
      </c>
      <c r="B102" t="s">
        <v>43</v>
      </c>
      <c r="C102" t="str">
        <f>B102&amp;"_"&amp;A102</f>
        <v>PHBVA_45355</v>
      </c>
      <c r="D102" t="str">
        <f>IFERROR(INDEX(Sheet2!G:G,MATCH(Sheet1!C102,Sheet2!I:I,0)),"")</f>
        <v/>
      </c>
    </row>
    <row r="103" spans="1:4" x14ac:dyDescent="0.3">
      <c r="A103" s="4">
        <v>45356</v>
      </c>
      <c r="B103" t="s">
        <v>5</v>
      </c>
      <c r="C103" t="str">
        <f>B103&amp;"_"&amp;A103</f>
        <v>PHBHL_45356</v>
      </c>
      <c r="D103" t="str">
        <f>IFERROR(INDEX(Sheet2!G:G,MATCH(Sheet1!C103,Sheet2!I:I,0)),"")</f>
        <v/>
      </c>
    </row>
    <row r="104" spans="1:4" x14ac:dyDescent="0.3">
      <c r="A104" s="4">
        <v>45356</v>
      </c>
      <c r="B104" t="s">
        <v>4</v>
      </c>
      <c r="C104" t="str">
        <f>B104&amp;"_"&amp;A104</f>
        <v>PHBKH_45356</v>
      </c>
      <c r="D104" t="str">
        <f>IFERROR(INDEX(Sheet2!G:G,MATCH(Sheet1!C104,Sheet2!I:I,0)),"")</f>
        <v/>
      </c>
    </row>
    <row r="105" spans="1:4" x14ac:dyDescent="0.3">
      <c r="A105" s="4">
        <v>45357</v>
      </c>
      <c r="B105" t="s">
        <v>10</v>
      </c>
      <c r="C105" t="str">
        <f>B105&amp;"_"&amp;A105</f>
        <v>PHBHP_45357</v>
      </c>
      <c r="D105" t="str">
        <f>IFERROR(INDEX(Sheet2!G:G,MATCH(Sheet1!C105,Sheet2!I:I,0)),"")</f>
        <v/>
      </c>
    </row>
    <row r="106" spans="1:4" x14ac:dyDescent="0.3">
      <c r="A106" s="4">
        <v>45357</v>
      </c>
      <c r="B106" t="s">
        <v>27</v>
      </c>
      <c r="C106" t="str">
        <f>B106&amp;"_"&amp;A106</f>
        <v>PHBQI_45357</v>
      </c>
      <c r="D106" t="str">
        <f>IFERROR(INDEX(Sheet2!G:G,MATCH(Sheet1!C106,Sheet2!I:I,0)),"")</f>
        <v/>
      </c>
    </row>
    <row r="107" spans="1:4" x14ac:dyDescent="0.3">
      <c r="A107" s="4">
        <v>45357</v>
      </c>
      <c r="B107" t="s">
        <v>21</v>
      </c>
      <c r="C107" t="str">
        <f>B107&amp;"_"&amp;A107</f>
        <v>PHBQE_45357</v>
      </c>
      <c r="D107" t="str">
        <f>IFERROR(INDEX(Sheet2!G:G,MATCH(Sheet1!C107,Sheet2!I:I,0)),"")</f>
        <v/>
      </c>
    </row>
    <row r="108" spans="1:4" x14ac:dyDescent="0.3">
      <c r="A108" s="4">
        <v>45358</v>
      </c>
      <c r="B108" t="s">
        <v>16</v>
      </c>
      <c r="C108" t="str">
        <f>B108&amp;"_"&amp;A108</f>
        <v>PHBHM_45358</v>
      </c>
      <c r="D108" t="str">
        <f>IFERROR(INDEX(Sheet2!G:G,MATCH(Sheet1!C108,Sheet2!I:I,0)),"")</f>
        <v>OPER PH-BHM 3x PDUs u/s left side FWD HOLD - NO CNTRS LEFT SIDE -CNTRS RIGHT SIDE LOADABLE - NO PLTS/PLBS IN FWD HOLD</v>
      </c>
    </row>
    <row r="109" spans="1:4" x14ac:dyDescent="0.3">
      <c r="A109" s="4">
        <v>45358</v>
      </c>
      <c r="B109" t="s">
        <v>26</v>
      </c>
      <c r="C109" t="str">
        <f>B109&amp;"_"&amp;A109</f>
        <v>PHBQH_45358</v>
      </c>
      <c r="D109" t="str">
        <f>IFERROR(INDEX(Sheet2!G:G,MATCH(Sheet1!C109,Sheet2!I:I,0)),"")</f>
        <v/>
      </c>
    </row>
    <row r="110" spans="1:4" x14ac:dyDescent="0.3">
      <c r="A110" s="4">
        <v>45359</v>
      </c>
      <c r="B110" t="s">
        <v>25</v>
      </c>
      <c r="C110" t="str">
        <f>B110&amp;"_"&amp;A110</f>
        <v>PHBQF_45359</v>
      </c>
      <c r="D110" t="str">
        <f>IFERROR(INDEX(Sheet2!G:G,MATCH(Sheet1!C110,Sheet2!I:I,0)),"")</f>
        <v/>
      </c>
    </row>
    <row r="111" spans="1:4" x14ac:dyDescent="0.3">
      <c r="A111" s="4">
        <v>45360</v>
      </c>
      <c r="B111" t="s">
        <v>29</v>
      </c>
      <c r="C111" t="str">
        <f>B111&amp;"_"&amp;A111</f>
        <v>PHBQB_45360</v>
      </c>
      <c r="D111" t="str">
        <f>IFERROR(INDEX(Sheet2!G:G,MATCH(Sheet1!C111,Sheet2!I:I,0)),"")</f>
        <v/>
      </c>
    </row>
    <row r="112" spans="1:4" x14ac:dyDescent="0.3">
      <c r="A112" s="4">
        <v>45360</v>
      </c>
      <c r="B112" t="s">
        <v>48</v>
      </c>
      <c r="C112" t="str">
        <f>B112&amp;"_"&amp;A112</f>
        <v>PHBVC_45360</v>
      </c>
      <c r="D112" t="str">
        <f>IFERROR(INDEX(Sheet2!G:G,MATCH(Sheet1!C112,Sheet2!I:I,0)),"")</f>
        <v/>
      </c>
    </row>
    <row r="113" spans="1:4" x14ac:dyDescent="0.3">
      <c r="A113" s="4">
        <v>45361</v>
      </c>
      <c r="B113" t="s">
        <v>15</v>
      </c>
      <c r="C113" t="str">
        <f>B113&amp;"_"&amp;A113</f>
        <v>PHBHC_45361</v>
      </c>
      <c r="D113" t="str">
        <f>IFERROR(INDEX(Sheet2!G:G,MATCH(Sheet1!C113,Sheet2!I:I,0)),"")</f>
        <v/>
      </c>
    </row>
    <row r="114" spans="1:4" x14ac:dyDescent="0.3">
      <c r="A114" s="4">
        <v>45362</v>
      </c>
      <c r="B114" t="s">
        <v>46</v>
      </c>
      <c r="C114" t="str">
        <f>B114&amp;"_"&amp;A114</f>
        <v>PHBVP_45362</v>
      </c>
      <c r="D114" t="str">
        <f>IFERROR(INDEX(Sheet2!G:G,MATCH(Sheet1!C114,Sheet2!I:I,0)),"")</f>
        <v/>
      </c>
    </row>
    <row r="115" spans="1:4" x14ac:dyDescent="0.3">
      <c r="A115" s="4">
        <v>45363</v>
      </c>
      <c r="B115" t="s">
        <v>35</v>
      </c>
      <c r="C115" t="str">
        <f>B115&amp;"_"&amp;A115</f>
        <v>PHBKI_45363</v>
      </c>
      <c r="D115" t="str">
        <f>IFERROR(INDEX(Sheet2!G:G,MATCH(Sheet1!C115,Sheet2!I:I,0)),"")</f>
        <v/>
      </c>
    </row>
    <row r="116" spans="1:4" x14ac:dyDescent="0.3">
      <c r="A116" s="4">
        <v>45366</v>
      </c>
      <c r="B116" t="s">
        <v>6</v>
      </c>
      <c r="C116" t="str">
        <f>B116&amp;"_"&amp;A116</f>
        <v>PHBHN_45366</v>
      </c>
      <c r="D116" t="str">
        <f>IFERROR(INDEX(Sheet2!G:G,MATCH(Sheet1!C116,Sheet2!I:I,0)),"")</f>
        <v/>
      </c>
    </row>
    <row r="117" spans="1:4" x14ac:dyDescent="0.3">
      <c r="A117" s="4">
        <v>45367</v>
      </c>
      <c r="B117" t="s">
        <v>31</v>
      </c>
      <c r="C117" t="str">
        <f>B117&amp;"_"&amp;A117</f>
        <v>PHBKC_45367</v>
      </c>
      <c r="D117" t="str">
        <f>IFERROR(INDEX(Sheet2!G:G,MATCH(Sheet1!C117,Sheet2!I:I,0)),"")</f>
        <v/>
      </c>
    </row>
    <row r="118" spans="1:4" x14ac:dyDescent="0.3">
      <c r="A118" s="4">
        <v>45368</v>
      </c>
      <c r="B118" t="s">
        <v>30</v>
      </c>
      <c r="C118" t="str">
        <f>B118&amp;"_"&amp;A118</f>
        <v>PHBVB_45368</v>
      </c>
      <c r="D118" t="str">
        <f>IFERROR(INDEX(Sheet2!G:G,MATCH(Sheet1!C118,Sheet2!I:I,0)),"")</f>
        <v/>
      </c>
    </row>
    <row r="119" spans="1:4" x14ac:dyDescent="0.3">
      <c r="A119" s="4">
        <v>45368</v>
      </c>
      <c r="B119" t="s">
        <v>35</v>
      </c>
      <c r="C119" t="str">
        <f>B119&amp;"_"&amp;A119</f>
        <v>PHBKI_45368</v>
      </c>
      <c r="D119" t="str">
        <f>IFERROR(INDEX(Sheet2!G:G,MATCH(Sheet1!C119,Sheet2!I:I,0)),"")</f>
        <v/>
      </c>
    </row>
    <row r="120" spans="1:4" x14ac:dyDescent="0.3">
      <c r="A120" s="4">
        <v>45368</v>
      </c>
      <c r="B120" t="s">
        <v>46</v>
      </c>
      <c r="C120" t="str">
        <f>B120&amp;"_"&amp;A120</f>
        <v>PHBVP_45368</v>
      </c>
      <c r="D120" t="str">
        <f>IFERROR(INDEX(Sheet2!G:G,MATCH(Sheet1!C120,Sheet2!I:I,0)),"")</f>
        <v/>
      </c>
    </row>
    <row r="121" spans="1:4" x14ac:dyDescent="0.3">
      <c r="A121" s="4">
        <v>45369</v>
      </c>
      <c r="B121" t="s">
        <v>17</v>
      </c>
      <c r="C121" t="str">
        <f>B121&amp;"_"&amp;A121</f>
        <v>PHBQG_45369</v>
      </c>
      <c r="D121" t="str">
        <f>IFERROR(INDEX(Sheet2!G:G,MATCH(Sheet1!C121,Sheet2!I:I,0)),"")</f>
        <v/>
      </c>
    </row>
    <row r="122" spans="1:4" x14ac:dyDescent="0.3">
      <c r="A122" s="4">
        <v>45369</v>
      </c>
      <c r="B122" t="s">
        <v>23</v>
      </c>
      <c r="C122" t="str">
        <f>B122&amp;"_"&amp;A122</f>
        <v>PHBQD_45369</v>
      </c>
      <c r="D122" t="str">
        <f>IFERROR(INDEX(Sheet2!G:G,MATCH(Sheet1!C122,Sheet2!I:I,0)),"")</f>
        <v/>
      </c>
    </row>
    <row r="123" spans="1:4" x14ac:dyDescent="0.3">
      <c r="A123" s="4">
        <v>45369</v>
      </c>
      <c r="B123" t="s">
        <v>32</v>
      </c>
      <c r="C123" t="str">
        <f>B123&amp;"_"&amp;A123</f>
        <v>PHBKD_45369</v>
      </c>
      <c r="D123" t="str">
        <f>IFERROR(INDEX(Sheet2!G:G,MATCH(Sheet1!C123,Sheet2!I:I,0)),"")</f>
        <v/>
      </c>
    </row>
    <row r="124" spans="1:4" x14ac:dyDescent="0.3">
      <c r="A124" s="4">
        <v>45370</v>
      </c>
      <c r="B124" t="s">
        <v>18</v>
      </c>
      <c r="C124" t="str">
        <f>B124&amp;"_"&amp;A124</f>
        <v>PHBQC_45370</v>
      </c>
      <c r="D124" t="str">
        <f>IFERROR(INDEX(Sheet2!G:G,MATCH(Sheet1!C124,Sheet2!I:I,0)),"")</f>
        <v/>
      </c>
    </row>
    <row r="125" spans="1:4" x14ac:dyDescent="0.3">
      <c r="A125" s="4">
        <v>45371</v>
      </c>
      <c r="B125" t="s">
        <v>28</v>
      </c>
      <c r="C125" t="str">
        <f>B125&amp;"_"&amp;A125</f>
        <v>PHBQP_45371</v>
      </c>
      <c r="D125" t="str">
        <f>IFERROR(INDEX(Sheet2!G:G,MATCH(Sheet1!C125,Sheet2!I:I,0)),"")</f>
        <v/>
      </c>
    </row>
    <row r="126" spans="1:4" x14ac:dyDescent="0.3">
      <c r="A126" s="4">
        <v>45372</v>
      </c>
      <c r="B126" t="s">
        <v>20</v>
      </c>
      <c r="C126" t="str">
        <f>B126&amp;"_"&amp;A126</f>
        <v>PHBQK_45372</v>
      </c>
      <c r="D126" t="str">
        <f>IFERROR(INDEX(Sheet2!G:G,MATCH(Sheet1!C126,Sheet2!I:I,0)),"")</f>
        <v/>
      </c>
    </row>
    <row r="127" spans="1:4" x14ac:dyDescent="0.3">
      <c r="A127" s="4">
        <v>45373</v>
      </c>
      <c r="B127" t="s">
        <v>19</v>
      </c>
      <c r="C127" t="str">
        <f>B127&amp;"_"&amp;A127</f>
        <v>PHBQA_45373</v>
      </c>
      <c r="D127" t="str">
        <f>IFERROR(INDEX(Sheet2!G:G,MATCH(Sheet1!C127,Sheet2!I:I,0)),"")</f>
        <v/>
      </c>
    </row>
    <row r="128" spans="1:4" x14ac:dyDescent="0.3">
      <c r="A128" s="4">
        <v>45373</v>
      </c>
      <c r="B128" t="s">
        <v>32</v>
      </c>
      <c r="C128" t="str">
        <f>B128&amp;"_"&amp;A128</f>
        <v>PHBKD_45373</v>
      </c>
      <c r="D128" t="str">
        <f>IFERROR(INDEX(Sheet2!G:G,MATCH(Sheet1!C128,Sheet2!I:I,0)),"")</f>
        <v/>
      </c>
    </row>
    <row r="129" spans="1:4" x14ac:dyDescent="0.3">
      <c r="A129" s="4">
        <v>45373</v>
      </c>
      <c r="B129" t="s">
        <v>39</v>
      </c>
      <c r="C129" t="str">
        <f>B129&amp;"_"&amp;A129</f>
        <v>PHBVS_45373</v>
      </c>
      <c r="D129" t="str">
        <f>IFERROR(INDEX(Sheet2!G:G,MATCH(Sheet1!C129,Sheet2!I:I,0)),"")</f>
        <v/>
      </c>
    </row>
    <row r="130" spans="1:4" x14ac:dyDescent="0.3">
      <c r="A130" s="4">
        <v>45374</v>
      </c>
      <c r="B130" t="s">
        <v>25</v>
      </c>
      <c r="C130" t="str">
        <f>B130&amp;"_"&amp;A130</f>
        <v>PHBQF_45374</v>
      </c>
      <c r="D130" t="str">
        <f>IFERROR(INDEX(Sheet2!G:G,MATCH(Sheet1!C130,Sheet2!I:I,0)),"")</f>
        <v/>
      </c>
    </row>
    <row r="131" spans="1:4" x14ac:dyDescent="0.3">
      <c r="A131" s="4">
        <v>45374</v>
      </c>
      <c r="B131" t="s">
        <v>38</v>
      </c>
      <c r="C131" t="str">
        <f>B131&amp;"_"&amp;A131</f>
        <v>PHBVF_45374</v>
      </c>
      <c r="D131" t="str">
        <f>IFERROR(INDEX(Sheet2!G:G,MATCH(Sheet1!C131,Sheet2!I:I,0)),"")</f>
        <v/>
      </c>
    </row>
    <row r="132" spans="1:4" x14ac:dyDescent="0.3">
      <c r="A132" s="4">
        <v>45375</v>
      </c>
      <c r="B132" t="s">
        <v>19</v>
      </c>
      <c r="C132" t="str">
        <f>B132&amp;"_"&amp;A132</f>
        <v>PHBQA_45375</v>
      </c>
      <c r="D132" t="str">
        <f>IFERROR(INDEX(Sheet2!G:G,MATCH(Sheet1!C132,Sheet2!I:I,0)),"")</f>
        <v/>
      </c>
    </row>
    <row r="133" spans="1:4" x14ac:dyDescent="0.3">
      <c r="A133" s="4">
        <v>45376</v>
      </c>
      <c r="B133" t="s">
        <v>24</v>
      </c>
      <c r="C133" t="str">
        <f>B133&amp;"_"&amp;A133</f>
        <v>PHBQO_45376</v>
      </c>
      <c r="D133" t="str">
        <f>IFERROR(INDEX(Sheet2!G:G,MATCH(Sheet1!C133,Sheet2!I:I,0)),"")</f>
        <v/>
      </c>
    </row>
    <row r="134" spans="1:4" x14ac:dyDescent="0.3">
      <c r="A134" s="4">
        <v>45377</v>
      </c>
      <c r="B134" t="s">
        <v>19</v>
      </c>
      <c r="C134" t="str">
        <f>B134&amp;"_"&amp;A134</f>
        <v>PHBQA_45377</v>
      </c>
      <c r="D134" t="str">
        <f>IFERROR(INDEX(Sheet2!G:G,MATCH(Sheet1!C134,Sheet2!I:I,0)),"")</f>
        <v/>
      </c>
    </row>
    <row r="135" spans="1:4" x14ac:dyDescent="0.3">
      <c r="A135" s="4">
        <v>45378</v>
      </c>
      <c r="B135" t="s">
        <v>20</v>
      </c>
      <c r="C135" t="str">
        <f>B135&amp;"_"&amp;A135</f>
        <v>PHBQK_45378</v>
      </c>
      <c r="D135" t="str">
        <f>IFERROR(INDEX(Sheet2!G:G,MATCH(Sheet1!C135,Sheet2!I:I,0)),"")</f>
        <v/>
      </c>
    </row>
    <row r="136" spans="1:4" x14ac:dyDescent="0.3">
      <c r="A136" s="4">
        <v>45380</v>
      </c>
      <c r="B136" t="s">
        <v>21</v>
      </c>
      <c r="C136" t="str">
        <f>B136&amp;"_"&amp;A136</f>
        <v>PHBQE_45380</v>
      </c>
      <c r="D136" t="str">
        <f>IFERROR(INDEX(Sheet2!G:G,MATCH(Sheet1!C136,Sheet2!I:I,0)),"")</f>
        <v/>
      </c>
    </row>
    <row r="137" spans="1:4" x14ac:dyDescent="0.3">
      <c r="A137" s="4">
        <v>45381</v>
      </c>
      <c r="B137" t="s">
        <v>22</v>
      </c>
      <c r="C137" t="str">
        <f>B137&amp;"_"&amp;A137</f>
        <v>PHBQL_45381</v>
      </c>
      <c r="D137" t="str">
        <f>IFERROR(INDEX(Sheet2!G:G,MATCH(Sheet1!C137,Sheet2!I:I,0)),"")</f>
        <v/>
      </c>
    </row>
    <row r="138" spans="1:4" x14ac:dyDescent="0.3">
      <c r="A138" s="4">
        <v>45381</v>
      </c>
      <c r="B138" t="s">
        <v>18</v>
      </c>
      <c r="C138" t="str">
        <f>B138&amp;"_"&amp;A138</f>
        <v>PHBQC_45381</v>
      </c>
      <c r="D138" t="str">
        <f>IFERROR(INDEX(Sheet2!G:G,MATCH(Sheet1!C138,Sheet2!I:I,0)),"")</f>
        <v/>
      </c>
    </row>
    <row r="139" spans="1:4" x14ac:dyDescent="0.3">
      <c r="A139" s="4">
        <v>45382</v>
      </c>
      <c r="B139" t="s">
        <v>20</v>
      </c>
      <c r="C139" t="str">
        <f>B139&amp;"_"&amp;A139</f>
        <v>PHBQK_45382</v>
      </c>
      <c r="D139" t="str">
        <f>IFERROR(INDEX(Sheet2!G:G,MATCH(Sheet1!C139,Sheet2!I:I,0)),"")</f>
        <v/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82FB-D113-47E5-ABB1-4BE032E45D21}">
  <dimension ref="A1:I391"/>
  <sheetViews>
    <sheetView workbookViewId="0">
      <selection activeCell="E11" sqref="E11"/>
    </sheetView>
  </sheetViews>
  <sheetFormatPr defaultRowHeight="14.4" x14ac:dyDescent="0.3"/>
  <cols>
    <col min="1" max="1" width="11" bestFit="1" customWidth="1"/>
    <col min="2" max="2" width="13" bestFit="1" customWidth="1"/>
    <col min="3" max="3" width="6.88671875" bestFit="1" customWidth="1"/>
    <col min="4" max="4" width="23.77734375" bestFit="1" customWidth="1"/>
    <col min="5" max="5" width="10.5546875" bestFit="1" customWidth="1"/>
    <col min="6" max="6" width="9.6640625" bestFit="1" customWidth="1"/>
    <col min="7" max="7" width="184.33203125" bestFit="1" customWidth="1"/>
    <col min="8" max="8" width="11.109375" bestFit="1" customWidth="1"/>
    <col min="9" max="9" width="16.21875" bestFit="1" customWidth="1"/>
  </cols>
  <sheetData>
    <row r="1" spans="1:9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293</v>
      </c>
      <c r="I1" t="s">
        <v>294</v>
      </c>
    </row>
    <row r="2" spans="1:9" x14ac:dyDescent="0.3">
      <c r="A2" s="2" t="s">
        <v>56</v>
      </c>
      <c r="B2" s="2">
        <v>745</v>
      </c>
      <c r="C2" s="2" t="s">
        <v>256</v>
      </c>
      <c r="D2" s="3">
        <v>45292</v>
      </c>
      <c r="E2" s="3">
        <v>45292</v>
      </c>
      <c r="F2" s="2" t="s">
        <v>58</v>
      </c>
      <c r="G2" s="2" t="s">
        <v>257</v>
      </c>
      <c r="H2" t="str">
        <f>"PH"&amp;MID(G2,IFERROR(FIND("PH-",G2)+3,IFERROR(FIND("ph-",G2)+3,IFERROR(FIND("PH",G2)+2,IFERROR(FIND("ph",G2)+2,0)))),3)</f>
        <v>PHBKD</v>
      </c>
      <c r="I2" t="str">
        <f>H2&amp;"_"&amp;E2</f>
        <v>PHBKD_45292</v>
      </c>
    </row>
    <row r="3" spans="1:9" x14ac:dyDescent="0.3">
      <c r="A3" s="2" t="s">
        <v>56</v>
      </c>
      <c r="B3" s="2">
        <v>897</v>
      </c>
      <c r="C3" s="2" t="s">
        <v>214</v>
      </c>
      <c r="D3" s="3">
        <v>45292</v>
      </c>
      <c r="E3" s="3">
        <v>45292</v>
      </c>
      <c r="F3" s="2" t="s">
        <v>58</v>
      </c>
      <c r="G3" s="2" t="s">
        <v>123</v>
      </c>
      <c r="H3" t="str">
        <f>"PH"&amp;MID(G3,IFERROR(FIND("PH-",G3)+3,IFERROR(FIND("ph-",G3)+3,IFERROR(FIND("PH",G3)+2,IFERROR(FIND("ph",G3)+2,0)))),3)</f>
        <v>PHBHA</v>
      </c>
      <c r="I3" t="str">
        <f>H3&amp;"_"&amp;E3</f>
        <v>PHBHA_45292</v>
      </c>
    </row>
    <row r="4" spans="1:9" x14ac:dyDescent="0.3">
      <c r="A4" s="2" t="s">
        <v>56</v>
      </c>
      <c r="B4" s="2">
        <v>627</v>
      </c>
      <c r="C4" s="2" t="s">
        <v>89</v>
      </c>
      <c r="D4" s="3">
        <v>45293</v>
      </c>
      <c r="E4" s="3">
        <v>45293</v>
      </c>
      <c r="F4" s="2" t="s">
        <v>58</v>
      </c>
      <c r="G4" s="2" t="s">
        <v>90</v>
      </c>
      <c r="H4" t="str">
        <f>"PH"&amp;MID(G4,IFERROR(FIND("PH-",G4)+3,IFERROR(FIND("ph-",G4)+3,IFERROR(FIND("PH",G4)+2,IFERROR(FIND("ph",G4)+2,0)))),3)</f>
        <v>PHAOB</v>
      </c>
      <c r="I4" t="str">
        <f>H4&amp;"_"&amp;E4</f>
        <v>PHAOB_45293</v>
      </c>
    </row>
    <row r="5" spans="1:9" x14ac:dyDescent="0.3">
      <c r="A5" s="2" t="s">
        <v>56</v>
      </c>
      <c r="B5" s="2">
        <v>539</v>
      </c>
      <c r="C5" s="2" t="s">
        <v>64</v>
      </c>
      <c r="D5" s="3">
        <v>45293</v>
      </c>
      <c r="E5" s="3">
        <v>45293</v>
      </c>
      <c r="F5" s="2" t="s">
        <v>58</v>
      </c>
      <c r="G5" s="2" t="s">
        <v>225</v>
      </c>
      <c r="H5" t="str">
        <f>"PH"&amp;MID(G5,IFERROR(FIND("PH-",G5)+3,IFERROR(FIND("ph-",G5)+3,IFERROR(FIND("PH",G5)+2,IFERROR(FIND("ph",G5)+2,0)))),3)</f>
        <v>PHAOB</v>
      </c>
      <c r="I5" t="str">
        <f>H5&amp;"_"&amp;E5</f>
        <v>PHAOB_45293</v>
      </c>
    </row>
    <row r="6" spans="1:9" x14ac:dyDescent="0.3">
      <c r="A6" s="2" t="s">
        <v>56</v>
      </c>
      <c r="B6" s="2">
        <v>835</v>
      </c>
      <c r="C6" s="2" t="s">
        <v>198</v>
      </c>
      <c r="D6" s="3">
        <v>45293</v>
      </c>
      <c r="E6" s="3">
        <v>45293</v>
      </c>
      <c r="F6" s="2" t="s">
        <v>58</v>
      </c>
      <c r="G6" s="2" t="s">
        <v>67</v>
      </c>
      <c r="H6" t="str">
        <f>"PH"&amp;MID(G6,IFERROR(FIND("PH-",G6)+3,IFERROR(FIND("ph-",G6)+3,IFERROR(FIND("PH",G6)+2,IFERROR(FIND("ph",G6)+2,0)))),3)</f>
        <v>PHBVN</v>
      </c>
      <c r="I6" t="str">
        <f>H6&amp;"_"&amp;E6</f>
        <v>PHBVN_45293</v>
      </c>
    </row>
    <row r="7" spans="1:9" x14ac:dyDescent="0.3">
      <c r="A7" s="2" t="s">
        <v>56</v>
      </c>
      <c r="B7" s="2">
        <v>871</v>
      </c>
      <c r="C7" s="2" t="s">
        <v>203</v>
      </c>
      <c r="D7" s="3">
        <v>45293</v>
      </c>
      <c r="E7" s="3">
        <v>45293</v>
      </c>
      <c r="F7" s="2" t="s">
        <v>58</v>
      </c>
      <c r="G7" s="2" t="s">
        <v>280</v>
      </c>
      <c r="H7" t="str">
        <f>"PH"&amp;MID(G7,IFERROR(FIND("PH-",G7)+3,IFERROR(FIND("ph-",G7)+3,IFERROR(FIND("PH",G7)+2,IFERROR(FIND("ph",G7)+2,0)))),3)</f>
        <v>PHBVN</v>
      </c>
      <c r="I7" t="str">
        <f>H7&amp;"_"&amp;E7</f>
        <v>PHBVN_45293</v>
      </c>
    </row>
    <row r="8" spans="1:9" x14ac:dyDescent="0.3">
      <c r="A8" s="2" t="s">
        <v>56</v>
      </c>
      <c r="B8" s="2">
        <v>565</v>
      </c>
      <c r="C8" s="2" t="s">
        <v>66</v>
      </c>
      <c r="D8" s="3">
        <v>45294</v>
      </c>
      <c r="E8" s="3">
        <v>45294</v>
      </c>
      <c r="F8" s="2" t="s">
        <v>58</v>
      </c>
      <c r="G8" s="2" t="s">
        <v>67</v>
      </c>
      <c r="H8" t="str">
        <f>"PH"&amp;MID(G8,IFERROR(FIND("PH-",G8)+3,IFERROR(FIND("ph-",G8)+3,IFERROR(FIND("PH",G8)+2,IFERROR(FIND("ph",G8)+2,0)))),3)</f>
        <v>PHBVN</v>
      </c>
      <c r="I8" t="str">
        <f>H8&amp;"_"&amp;E8</f>
        <v>PHBVN_45294</v>
      </c>
    </row>
    <row r="9" spans="1:9" x14ac:dyDescent="0.3">
      <c r="A9" s="2" t="s">
        <v>56</v>
      </c>
      <c r="B9" s="2">
        <v>655</v>
      </c>
      <c r="C9" s="2" t="s">
        <v>131</v>
      </c>
      <c r="D9" s="3">
        <v>45294</v>
      </c>
      <c r="E9" s="3">
        <v>45294</v>
      </c>
      <c r="F9" s="2" t="s">
        <v>58</v>
      </c>
      <c r="G9" s="2" t="s">
        <v>132</v>
      </c>
      <c r="H9" t="str">
        <f>"PH"&amp;MID(G9,IFERROR(FIND("PH-",G9)+3,IFERROR(FIND("ph-",G9)+3,IFERROR(FIND("PH",G9)+2,IFERROR(FIND("ph",G9)+2,0)))),3)</f>
        <v>PHAOB</v>
      </c>
      <c r="I9" t="str">
        <f>H9&amp;"_"&amp;E9</f>
        <v>PHAOB_45294</v>
      </c>
    </row>
    <row r="10" spans="1:9" x14ac:dyDescent="0.3">
      <c r="A10" s="2" t="s">
        <v>56</v>
      </c>
      <c r="B10" s="2">
        <v>741</v>
      </c>
      <c r="C10" s="2" t="s">
        <v>184</v>
      </c>
      <c r="D10" s="3">
        <v>45294</v>
      </c>
      <c r="E10" s="3">
        <v>45294</v>
      </c>
      <c r="F10" s="2" t="s">
        <v>58</v>
      </c>
      <c r="G10" s="2" t="s">
        <v>185</v>
      </c>
      <c r="H10" t="str">
        <f>"PH"&amp;MID(G10,IFERROR(FIND("PH-",G10)+3,IFERROR(FIND("ph-",G10)+3,IFERROR(FIND("PH",G10)+2,IFERROR(FIND("ph",G10)+2,0)))),3)</f>
        <v>PHBKD</v>
      </c>
      <c r="I10" t="str">
        <f>H10&amp;"_"&amp;E10</f>
        <v>PHBKD_45294</v>
      </c>
    </row>
    <row r="11" spans="1:9" x14ac:dyDescent="0.3">
      <c r="A11" s="2" t="s">
        <v>56</v>
      </c>
      <c r="B11" s="2">
        <v>861</v>
      </c>
      <c r="C11" s="2" t="s">
        <v>200</v>
      </c>
      <c r="D11" s="3">
        <v>45294</v>
      </c>
      <c r="E11" s="3">
        <v>45294</v>
      </c>
      <c r="F11" s="2" t="s">
        <v>58</v>
      </c>
      <c r="G11" s="2" t="s">
        <v>126</v>
      </c>
      <c r="H11" t="str">
        <f>"PH"&amp;MID(G11,IFERROR(FIND("PH-",G11)+3,IFERROR(FIND("ph-",G11)+3,IFERROR(FIND("PH",G11)+2,IFERROR(FIND("ph",G11)+2,0)))),3)</f>
        <v>PHBQH</v>
      </c>
      <c r="I11" t="str">
        <f>H11&amp;"_"&amp;E11</f>
        <v>PHBQH_45294</v>
      </c>
    </row>
    <row r="12" spans="1:9" x14ac:dyDescent="0.3">
      <c r="A12" s="2" t="s">
        <v>56</v>
      </c>
      <c r="B12" s="2">
        <v>689</v>
      </c>
      <c r="C12" s="2" t="s">
        <v>149</v>
      </c>
      <c r="D12" s="3">
        <v>45295</v>
      </c>
      <c r="E12" s="3">
        <v>45295</v>
      </c>
      <c r="F12" s="2" t="s">
        <v>58</v>
      </c>
      <c r="G12" s="2" t="s">
        <v>167</v>
      </c>
      <c r="H12" t="str">
        <f>"PH"&amp;MID(G12,IFERROR(FIND("PH-",G12)+3,IFERROR(FIND("ph-",G12)+3,IFERROR(FIND("PH",G12)+2,IFERROR(FIND("ph",G12)+2,0)))),3)</f>
        <v>PHBKF</v>
      </c>
      <c r="I12" t="str">
        <f>H12&amp;"_"&amp;E12</f>
        <v>PHBKF_45295</v>
      </c>
    </row>
    <row r="13" spans="1:9" x14ac:dyDescent="0.3">
      <c r="A13" s="2" t="s">
        <v>56</v>
      </c>
      <c r="B13" s="2">
        <v>635</v>
      </c>
      <c r="C13" s="2" t="s">
        <v>91</v>
      </c>
      <c r="D13" s="3">
        <v>45295</v>
      </c>
      <c r="E13" s="3">
        <v>45295</v>
      </c>
      <c r="F13" s="2" t="s">
        <v>58</v>
      </c>
      <c r="G13" s="2" t="s">
        <v>123</v>
      </c>
      <c r="H13" t="str">
        <f>"PH"&amp;MID(G13,IFERROR(FIND("PH-",G13)+3,IFERROR(FIND("ph-",G13)+3,IFERROR(FIND("PH",G13)+2,IFERROR(FIND("ph",G13)+2,0)))),3)</f>
        <v>PHBHA</v>
      </c>
      <c r="I13" t="str">
        <f>H13&amp;"_"&amp;E13</f>
        <v>PHBHA_45295</v>
      </c>
    </row>
    <row r="14" spans="1:9" x14ac:dyDescent="0.3">
      <c r="A14" s="2" t="s">
        <v>56</v>
      </c>
      <c r="B14" s="2">
        <v>677</v>
      </c>
      <c r="C14" s="2" t="s">
        <v>140</v>
      </c>
      <c r="D14" s="3">
        <v>45296</v>
      </c>
      <c r="E14" s="3">
        <v>45296</v>
      </c>
      <c r="F14" s="2" t="s">
        <v>58</v>
      </c>
      <c r="G14" s="2" t="s">
        <v>123</v>
      </c>
      <c r="H14" t="str">
        <f>"PH"&amp;MID(G14,IFERROR(FIND("PH-",G14)+3,IFERROR(FIND("ph-",G14)+3,IFERROR(FIND("PH",G14)+2,IFERROR(FIND("ph",G14)+2,0)))),3)</f>
        <v>PHBHA</v>
      </c>
      <c r="I14" t="str">
        <f>H14&amp;"_"&amp;E14</f>
        <v>PHBHA_45296</v>
      </c>
    </row>
    <row r="15" spans="1:9" x14ac:dyDescent="0.3">
      <c r="A15" s="2" t="s">
        <v>56</v>
      </c>
      <c r="B15" s="2">
        <v>735</v>
      </c>
      <c r="C15" s="2" t="s">
        <v>182</v>
      </c>
      <c r="D15" s="3">
        <v>45296</v>
      </c>
      <c r="E15" s="3">
        <v>45296</v>
      </c>
      <c r="F15" s="2" t="s">
        <v>58</v>
      </c>
      <c r="G15" s="2" t="s">
        <v>67</v>
      </c>
      <c r="H15" t="str">
        <f>"PH"&amp;MID(G15,IFERROR(FIND("PH-",G15)+3,IFERROR(FIND("ph-",G15)+3,IFERROR(FIND("PH",G15)+2,IFERROR(FIND("ph",G15)+2,0)))),3)</f>
        <v>PHBVN</v>
      </c>
      <c r="I15" t="str">
        <f>H15&amp;"_"&amp;E15</f>
        <v>PHBVN_45296</v>
      </c>
    </row>
    <row r="16" spans="1:9" x14ac:dyDescent="0.3">
      <c r="A16" s="2" t="s">
        <v>56</v>
      </c>
      <c r="B16" s="2">
        <v>895</v>
      </c>
      <c r="C16" s="2" t="s">
        <v>213</v>
      </c>
      <c r="D16" s="3">
        <v>45296</v>
      </c>
      <c r="E16" s="3">
        <v>45296</v>
      </c>
      <c r="F16" s="2" t="s">
        <v>58</v>
      </c>
      <c r="G16" s="2" t="s">
        <v>67</v>
      </c>
      <c r="H16" t="str">
        <f>"PH"&amp;MID(G16,IFERROR(FIND("PH-",G16)+3,IFERROR(FIND("ph-",G16)+3,IFERROR(FIND("PH",G16)+2,IFERROR(FIND("ph",G16)+2,0)))),3)</f>
        <v>PHBVN</v>
      </c>
      <c r="I16" t="str">
        <f>H16&amp;"_"&amp;E16</f>
        <v>PHBVN_45296</v>
      </c>
    </row>
    <row r="17" spans="1:9" x14ac:dyDescent="0.3">
      <c r="A17" s="2" t="s">
        <v>56</v>
      </c>
      <c r="B17" s="2">
        <v>755</v>
      </c>
      <c r="C17" s="2" t="s">
        <v>188</v>
      </c>
      <c r="D17" s="3">
        <v>45296</v>
      </c>
      <c r="E17" s="3">
        <v>45296</v>
      </c>
      <c r="F17" s="2" t="s">
        <v>58</v>
      </c>
      <c r="G17" s="2" t="s">
        <v>271</v>
      </c>
      <c r="H17" t="str">
        <f>"PH"&amp;MID(G17,IFERROR(FIND("PH-",G17)+3,IFERROR(FIND("ph-",G17)+3,IFERROR(FIND("PH",G17)+2,IFERROR(FIND("ph",G17)+2,0)))),3)</f>
        <v>PHBQH</v>
      </c>
      <c r="I17" t="str">
        <f>H17&amp;"_"&amp;E17</f>
        <v>PHBQH_45296</v>
      </c>
    </row>
    <row r="18" spans="1:9" x14ac:dyDescent="0.3">
      <c r="A18" s="2" t="s">
        <v>56</v>
      </c>
      <c r="B18" s="2">
        <v>809</v>
      </c>
      <c r="C18" s="2" t="s">
        <v>194</v>
      </c>
      <c r="D18" s="3">
        <v>45296</v>
      </c>
      <c r="E18" s="3">
        <v>45296</v>
      </c>
      <c r="F18" s="2" t="s">
        <v>58</v>
      </c>
      <c r="G18" s="2" t="s">
        <v>123</v>
      </c>
      <c r="H18" t="str">
        <f>"PH"&amp;MID(G18,IFERROR(FIND("PH-",G18)+3,IFERROR(FIND("ph-",G18)+3,IFERROR(FIND("PH",G18)+2,IFERROR(FIND("ph",G18)+2,0)))),3)</f>
        <v>PHBHA</v>
      </c>
      <c r="I18" t="str">
        <f>H18&amp;"_"&amp;E18</f>
        <v>PHBHA_45296</v>
      </c>
    </row>
    <row r="19" spans="1:9" x14ac:dyDescent="0.3">
      <c r="A19" s="2" t="s">
        <v>56</v>
      </c>
      <c r="B19" s="2">
        <v>643</v>
      </c>
      <c r="C19" s="2" t="s">
        <v>98</v>
      </c>
      <c r="D19" s="3">
        <v>45297</v>
      </c>
      <c r="E19" s="3">
        <v>45297</v>
      </c>
      <c r="F19" s="2" t="s">
        <v>58</v>
      </c>
      <c r="G19" s="2" t="s">
        <v>126</v>
      </c>
      <c r="H19" t="str">
        <f>"PH"&amp;MID(G19,IFERROR(FIND("PH-",G19)+3,IFERROR(FIND("ph-",G19)+3,IFERROR(FIND("PH",G19)+2,IFERROR(FIND("ph",G19)+2,0)))),3)</f>
        <v>PHBQH</v>
      </c>
      <c r="I19" t="str">
        <f>H19&amp;"_"&amp;E19</f>
        <v>PHBQH_45297</v>
      </c>
    </row>
    <row r="20" spans="1:9" x14ac:dyDescent="0.3">
      <c r="A20" s="2" t="s">
        <v>56</v>
      </c>
      <c r="B20" s="2">
        <v>701</v>
      </c>
      <c r="C20" s="2" t="s">
        <v>173</v>
      </c>
      <c r="D20" s="3">
        <v>45297</v>
      </c>
      <c r="E20" s="3">
        <v>45297</v>
      </c>
      <c r="F20" s="2" t="s">
        <v>58</v>
      </c>
      <c r="G20" s="2" t="s">
        <v>174</v>
      </c>
      <c r="H20" t="str">
        <f>"PH"&amp;MID(G20,IFERROR(FIND("PH-",G20)+3,IFERROR(FIND("ph-",G20)+3,IFERROR(FIND("PH",G20)+2,IFERROR(FIND("ph",G20)+2,0)))),3)</f>
        <v>PHBVK</v>
      </c>
      <c r="I20" t="str">
        <f>H20&amp;"_"&amp;E20</f>
        <v>PHBVK_45297</v>
      </c>
    </row>
    <row r="21" spans="1:9" x14ac:dyDescent="0.3">
      <c r="A21" s="2" t="s">
        <v>56</v>
      </c>
      <c r="B21" s="2">
        <v>705</v>
      </c>
      <c r="C21" s="2" t="s">
        <v>177</v>
      </c>
      <c r="D21" s="3">
        <v>45297</v>
      </c>
      <c r="E21" s="3">
        <v>45297</v>
      </c>
      <c r="F21" s="2" t="s">
        <v>58</v>
      </c>
      <c r="G21" s="2" t="s">
        <v>123</v>
      </c>
      <c r="H21" t="str">
        <f>"PH"&amp;MID(G21,IFERROR(FIND("PH-",G21)+3,IFERROR(FIND("ph-",G21)+3,IFERROR(FIND("PH",G21)+2,IFERROR(FIND("ph",G21)+2,0)))),3)</f>
        <v>PHBHA</v>
      </c>
      <c r="I21" t="str">
        <f>H21&amp;"_"&amp;E21</f>
        <v>PHBHA_45297</v>
      </c>
    </row>
    <row r="22" spans="1:9" x14ac:dyDescent="0.3">
      <c r="A22" s="2" t="s">
        <v>56</v>
      </c>
      <c r="B22" s="2">
        <v>589</v>
      </c>
      <c r="C22" s="2" t="s">
        <v>74</v>
      </c>
      <c r="D22" s="3">
        <v>45297</v>
      </c>
      <c r="E22" s="3">
        <v>45297</v>
      </c>
      <c r="F22" s="2" t="s">
        <v>58</v>
      </c>
      <c r="G22" s="2" t="s">
        <v>77</v>
      </c>
      <c r="H22" t="str">
        <f>"PH"&amp;MID(G22,IFERROR(FIND("PH-",G22)+3,IFERROR(FIND("ph-",G22)+3,IFERROR(FIND("PH",G22)+2,IFERROR(FIND("ph",G22)+2,0)))),3)</f>
        <v>PHBVK</v>
      </c>
      <c r="I22" t="str">
        <f>H22&amp;"_"&amp;E22</f>
        <v>PHBVK_45297</v>
      </c>
    </row>
    <row r="23" spans="1:9" x14ac:dyDescent="0.3">
      <c r="A23" s="2" t="s">
        <v>56</v>
      </c>
      <c r="B23" s="2">
        <v>685</v>
      </c>
      <c r="C23" s="2" t="s">
        <v>146</v>
      </c>
      <c r="D23" s="3">
        <v>45297</v>
      </c>
      <c r="E23" s="3">
        <v>45297</v>
      </c>
      <c r="F23" s="2" t="s">
        <v>58</v>
      </c>
      <c r="G23" s="2" t="s">
        <v>123</v>
      </c>
      <c r="H23" t="str">
        <f>"PH"&amp;MID(G23,IFERROR(FIND("PH-",G23)+3,IFERROR(FIND("ph-",G23)+3,IFERROR(FIND("PH",G23)+2,IFERROR(FIND("ph",G23)+2,0)))),3)</f>
        <v>PHBHA</v>
      </c>
      <c r="I23" t="str">
        <f>H23&amp;"_"&amp;E23</f>
        <v>PHBHA_45297</v>
      </c>
    </row>
    <row r="24" spans="1:9" x14ac:dyDescent="0.3">
      <c r="A24" s="2" t="s">
        <v>56</v>
      </c>
      <c r="B24" s="2">
        <v>713</v>
      </c>
      <c r="C24" s="2" t="s">
        <v>179</v>
      </c>
      <c r="D24" s="3">
        <v>45297</v>
      </c>
      <c r="E24" s="3">
        <v>45297</v>
      </c>
      <c r="F24" s="2" t="s">
        <v>58</v>
      </c>
      <c r="G24" s="2" t="s">
        <v>250</v>
      </c>
      <c r="H24" t="str">
        <f>"PH"&amp;MID(G24,IFERROR(FIND("PH-",G24)+3,IFERROR(FIND("ph-",G24)+3,IFERROR(FIND("PH",G24)+2,IFERROR(FIND("ph",G24)+2,0)))),3)</f>
        <v>PHBVN</v>
      </c>
      <c r="I24" t="str">
        <f>H24&amp;"_"&amp;E24</f>
        <v>PHBVN_45297</v>
      </c>
    </row>
    <row r="25" spans="1:9" x14ac:dyDescent="0.3">
      <c r="A25" s="2" t="s">
        <v>56</v>
      </c>
      <c r="B25" s="2">
        <v>591</v>
      </c>
      <c r="C25" s="2" t="s">
        <v>76</v>
      </c>
      <c r="D25" s="3">
        <v>45298</v>
      </c>
      <c r="E25" s="3">
        <v>45298</v>
      </c>
      <c r="F25" s="2" t="s">
        <v>58</v>
      </c>
      <c r="G25" s="2" t="s">
        <v>77</v>
      </c>
      <c r="H25" t="str">
        <f>"PH"&amp;MID(G25,IFERROR(FIND("PH-",G25)+3,IFERROR(FIND("ph-",G25)+3,IFERROR(FIND("PH",G25)+2,IFERROR(FIND("ph",G25)+2,0)))),3)</f>
        <v>PHBVK</v>
      </c>
      <c r="I25" t="str">
        <f>H25&amp;"_"&amp;E25</f>
        <v>PHBVK_45298</v>
      </c>
    </row>
    <row r="26" spans="1:9" x14ac:dyDescent="0.3">
      <c r="A26" s="2" t="s">
        <v>56</v>
      </c>
      <c r="B26" s="2">
        <v>735</v>
      </c>
      <c r="C26" s="2" t="s">
        <v>182</v>
      </c>
      <c r="D26" s="3">
        <v>45298</v>
      </c>
      <c r="E26" s="3">
        <v>45298</v>
      </c>
      <c r="F26" s="2" t="s">
        <v>58</v>
      </c>
      <c r="G26" s="2" t="s">
        <v>67</v>
      </c>
      <c r="H26" t="str">
        <f>"PH"&amp;MID(G26,IFERROR(FIND("PH-",G26)+3,IFERROR(FIND("ph-",G26)+3,IFERROR(FIND("PH",G26)+2,IFERROR(FIND("ph",G26)+2,0)))),3)</f>
        <v>PHBVN</v>
      </c>
      <c r="I26" t="str">
        <f>H26&amp;"_"&amp;E26</f>
        <v>PHBVN_45298</v>
      </c>
    </row>
    <row r="27" spans="1:9" x14ac:dyDescent="0.3">
      <c r="A27" s="2" t="s">
        <v>56</v>
      </c>
      <c r="B27" s="2">
        <v>617</v>
      </c>
      <c r="C27" s="2" t="s">
        <v>82</v>
      </c>
      <c r="D27" s="3">
        <v>45298</v>
      </c>
      <c r="E27" s="3">
        <v>45298</v>
      </c>
      <c r="F27" s="2" t="s">
        <v>58</v>
      </c>
      <c r="G27" s="2" t="s">
        <v>123</v>
      </c>
      <c r="H27" t="str">
        <f>"PH"&amp;MID(G27,IFERROR(FIND("PH-",G27)+3,IFERROR(FIND("ph-",G27)+3,IFERROR(FIND("PH",G27)+2,IFERROR(FIND("ph",G27)+2,0)))),3)</f>
        <v>PHBHA</v>
      </c>
      <c r="I27" t="str">
        <f>H27&amp;"_"&amp;E27</f>
        <v>PHBHA_45298</v>
      </c>
    </row>
    <row r="28" spans="1:9" x14ac:dyDescent="0.3">
      <c r="A28" s="2" t="s">
        <v>56</v>
      </c>
      <c r="B28" s="2">
        <v>641</v>
      </c>
      <c r="C28" s="2" t="s">
        <v>96</v>
      </c>
      <c r="D28" s="3">
        <v>45298</v>
      </c>
      <c r="E28" s="3">
        <v>45298</v>
      </c>
      <c r="F28" s="2" t="s">
        <v>58</v>
      </c>
      <c r="G28" s="2" t="s">
        <v>238</v>
      </c>
      <c r="H28" t="str">
        <f>"PH"&amp;MID(G28,IFERROR(FIND("PH-",G28)+3,IFERROR(FIND("ph-",G28)+3,IFERROR(FIND("PH",G28)+2,IFERROR(FIND("ph",G28)+2,0)))),3)</f>
        <v>PHBVW</v>
      </c>
      <c r="I28" t="str">
        <f>H28&amp;"_"&amp;E28</f>
        <v>PHBVW_45298</v>
      </c>
    </row>
    <row r="29" spans="1:9" x14ac:dyDescent="0.3">
      <c r="A29" s="2" t="s">
        <v>56</v>
      </c>
      <c r="B29" s="2">
        <v>895</v>
      </c>
      <c r="C29" s="2" t="s">
        <v>213</v>
      </c>
      <c r="D29" s="3">
        <v>45298</v>
      </c>
      <c r="E29" s="3">
        <v>45298</v>
      </c>
      <c r="F29" s="2" t="s">
        <v>58</v>
      </c>
      <c r="G29" s="2" t="s">
        <v>141</v>
      </c>
      <c r="H29" t="str">
        <f>"PH"&amp;MID(G29,IFERROR(FIND("PH-",G29)+3,IFERROR(FIND("ph-",G29)+3,IFERROR(FIND("PH",G29)+2,IFERROR(FIND("ph",G29)+2,0)))),3)</f>
        <v>PHBQH</v>
      </c>
      <c r="I29" t="str">
        <f>H29&amp;"_"&amp;E29</f>
        <v>PHBQH_45298</v>
      </c>
    </row>
    <row r="30" spans="1:9" x14ac:dyDescent="0.3">
      <c r="A30" s="2" t="s">
        <v>56</v>
      </c>
      <c r="B30" s="2">
        <v>597</v>
      </c>
      <c r="C30" s="2" t="s">
        <v>78</v>
      </c>
      <c r="D30" s="3">
        <v>45299</v>
      </c>
      <c r="E30" s="3">
        <v>45299</v>
      </c>
      <c r="F30" s="2" t="s">
        <v>58</v>
      </c>
      <c r="G30" s="2" t="s">
        <v>79</v>
      </c>
      <c r="H30" t="str">
        <f>"PH"&amp;MID(G30,IFERROR(FIND("PH-",G30)+3,IFERROR(FIND("ph-",G30)+3,IFERROR(FIND("PH",G30)+2,IFERROR(FIND("ph",G30)+2,0)))),3)</f>
        <v>PHBVN</v>
      </c>
      <c r="I30" t="str">
        <f>H30&amp;"_"&amp;E30</f>
        <v>PHBVN_45299</v>
      </c>
    </row>
    <row r="31" spans="1:9" x14ac:dyDescent="0.3">
      <c r="A31" s="2" t="s">
        <v>56</v>
      </c>
      <c r="B31" s="2">
        <v>677</v>
      </c>
      <c r="C31" s="2" t="s">
        <v>140</v>
      </c>
      <c r="D31" s="3">
        <v>45299</v>
      </c>
      <c r="E31" s="3">
        <v>45299</v>
      </c>
      <c r="F31" s="2" t="s">
        <v>58</v>
      </c>
      <c r="G31" s="2" t="s">
        <v>141</v>
      </c>
      <c r="H31" t="str">
        <f>"PH"&amp;MID(G31,IFERROR(FIND("PH-",G31)+3,IFERROR(FIND("ph-",G31)+3,IFERROR(FIND("PH",G31)+2,IFERROR(FIND("ph",G31)+2,0)))),3)</f>
        <v>PHBQH</v>
      </c>
      <c r="I31" t="str">
        <f>H31&amp;"_"&amp;E31</f>
        <v>PHBQH_45299</v>
      </c>
    </row>
    <row r="32" spans="1:9" x14ac:dyDescent="0.3">
      <c r="A32" s="2" t="s">
        <v>56</v>
      </c>
      <c r="B32" s="2">
        <v>667</v>
      </c>
      <c r="C32" s="2" t="s">
        <v>135</v>
      </c>
      <c r="D32" s="3">
        <v>45299</v>
      </c>
      <c r="E32" s="3">
        <v>45299</v>
      </c>
      <c r="F32" s="2" t="s">
        <v>58</v>
      </c>
      <c r="G32" s="2" t="s">
        <v>123</v>
      </c>
      <c r="H32" t="str">
        <f>"PH"&amp;MID(G32,IFERROR(FIND("PH-",G32)+3,IFERROR(FIND("ph-",G32)+3,IFERROR(FIND("PH",G32)+2,IFERROR(FIND("ph",G32)+2,0)))),3)</f>
        <v>PHBHA</v>
      </c>
      <c r="I32" t="str">
        <f>H32&amp;"_"&amp;E32</f>
        <v>PHBHA_45299</v>
      </c>
    </row>
    <row r="33" spans="1:9" x14ac:dyDescent="0.3">
      <c r="A33" s="2" t="s">
        <v>56</v>
      </c>
      <c r="B33" s="2">
        <v>589</v>
      </c>
      <c r="C33" s="2" t="s">
        <v>74</v>
      </c>
      <c r="D33" s="3">
        <v>45300</v>
      </c>
      <c r="E33" s="3">
        <v>45300</v>
      </c>
      <c r="F33" s="2" t="s">
        <v>58</v>
      </c>
      <c r="G33" s="2" t="s">
        <v>67</v>
      </c>
      <c r="H33" t="str">
        <f>"PH"&amp;MID(G33,IFERROR(FIND("PH-",G33)+3,IFERROR(FIND("ph-",G33)+3,IFERROR(FIND("PH",G33)+2,IFERROR(FIND("ph",G33)+2,0)))),3)</f>
        <v>PHBVN</v>
      </c>
      <c r="I33" t="str">
        <f>H33&amp;"_"&amp;E33</f>
        <v>PHBVN_45300</v>
      </c>
    </row>
    <row r="34" spans="1:9" x14ac:dyDescent="0.3">
      <c r="A34" s="2" t="s">
        <v>56</v>
      </c>
      <c r="B34" s="2">
        <v>591</v>
      </c>
      <c r="C34" s="2" t="s">
        <v>76</v>
      </c>
      <c r="D34" s="3">
        <v>45300</v>
      </c>
      <c r="E34" s="3">
        <v>45300</v>
      </c>
      <c r="F34" s="2" t="s">
        <v>58</v>
      </c>
      <c r="G34" s="2" t="s">
        <v>226</v>
      </c>
      <c r="H34" t="str">
        <f>"PH"&amp;MID(G34,IFERROR(FIND("PH-",G34)+3,IFERROR(FIND("ph-",G34)+3,IFERROR(FIND("PH",G34)+2,IFERROR(FIND("ph",G34)+2,0)))),3)</f>
        <v>PHBVK</v>
      </c>
      <c r="I34" t="str">
        <f>H34&amp;"_"&amp;E34</f>
        <v>PHBVK_45300</v>
      </c>
    </row>
    <row r="35" spans="1:9" x14ac:dyDescent="0.3">
      <c r="A35" s="2" t="s">
        <v>56</v>
      </c>
      <c r="B35" s="2">
        <v>677</v>
      </c>
      <c r="C35" s="2" t="s">
        <v>140</v>
      </c>
      <c r="D35" s="3">
        <v>45300</v>
      </c>
      <c r="E35" s="3">
        <v>45300</v>
      </c>
      <c r="F35" s="2" t="s">
        <v>58</v>
      </c>
      <c r="G35" s="2" t="s">
        <v>126</v>
      </c>
      <c r="H35" t="str">
        <f>"PH"&amp;MID(G35,IFERROR(FIND("PH-",G35)+3,IFERROR(FIND("ph-",G35)+3,IFERROR(FIND("PH",G35)+2,IFERROR(FIND("ph",G35)+2,0)))),3)</f>
        <v>PHBQH</v>
      </c>
      <c r="I35" t="str">
        <f>H35&amp;"_"&amp;E35</f>
        <v>PHBQH_45300</v>
      </c>
    </row>
    <row r="36" spans="1:9" x14ac:dyDescent="0.3">
      <c r="A36" s="2" t="s">
        <v>56</v>
      </c>
      <c r="B36" s="2">
        <v>705</v>
      </c>
      <c r="C36" s="2" t="s">
        <v>177</v>
      </c>
      <c r="D36" s="3">
        <v>45300</v>
      </c>
      <c r="E36" s="3">
        <v>45300</v>
      </c>
      <c r="F36" s="2" t="s">
        <v>58</v>
      </c>
      <c r="G36" s="2" t="s">
        <v>123</v>
      </c>
      <c r="H36" t="str">
        <f>"PH"&amp;MID(G36,IFERROR(FIND("PH-",G36)+3,IFERROR(FIND("ph-",G36)+3,IFERROR(FIND("PH",G36)+2,IFERROR(FIND("ph",G36)+2,0)))),3)</f>
        <v>PHBHA</v>
      </c>
      <c r="I36" t="str">
        <f>H36&amp;"_"&amp;E36</f>
        <v>PHBHA_45300</v>
      </c>
    </row>
    <row r="37" spans="1:9" x14ac:dyDescent="0.3">
      <c r="A37" s="2" t="s">
        <v>56</v>
      </c>
      <c r="B37" s="2">
        <v>877</v>
      </c>
      <c r="C37" s="2" t="s">
        <v>206</v>
      </c>
      <c r="D37" s="3">
        <v>45300</v>
      </c>
      <c r="E37" s="3">
        <v>45300</v>
      </c>
      <c r="F37" s="2" t="s">
        <v>58</v>
      </c>
      <c r="G37" s="2" t="s">
        <v>262</v>
      </c>
      <c r="H37" t="str">
        <f>"PH"&amp;MID(G37,IFERROR(FIND("PH-",G37)+3,IFERROR(FIND("ph-",G37)+3,IFERROR(FIND("PH",G37)+2,IFERROR(FIND("ph",G37)+2,0)))),3)</f>
        <v>PHBQH</v>
      </c>
      <c r="I37" t="str">
        <f>H37&amp;"_"&amp;E37</f>
        <v>PHBQH_45300</v>
      </c>
    </row>
    <row r="38" spans="1:9" x14ac:dyDescent="0.3">
      <c r="A38" s="2" t="s">
        <v>56</v>
      </c>
      <c r="B38" s="2">
        <v>677</v>
      </c>
      <c r="C38" s="2" t="s">
        <v>140</v>
      </c>
      <c r="D38" s="3">
        <v>45301</v>
      </c>
      <c r="E38" s="3">
        <v>45301</v>
      </c>
      <c r="F38" s="2" t="s">
        <v>58</v>
      </c>
      <c r="G38" s="2" t="s">
        <v>126</v>
      </c>
      <c r="H38" t="str">
        <f>"PH"&amp;MID(G38,IFERROR(FIND("PH-",G38)+3,IFERROR(FIND("ph-",G38)+3,IFERROR(FIND("PH",G38)+2,IFERROR(FIND("ph",G38)+2,0)))),3)</f>
        <v>PHBQH</v>
      </c>
      <c r="I38" t="str">
        <f>H38&amp;"_"&amp;E38</f>
        <v>PHBQH_45301</v>
      </c>
    </row>
    <row r="39" spans="1:9" x14ac:dyDescent="0.3">
      <c r="A39" s="2" t="s">
        <v>56</v>
      </c>
      <c r="B39" s="2">
        <v>735</v>
      </c>
      <c r="C39" s="2" t="s">
        <v>182</v>
      </c>
      <c r="D39" s="3">
        <v>45301</v>
      </c>
      <c r="E39" s="3">
        <v>45301</v>
      </c>
      <c r="F39" s="2" t="s">
        <v>58</v>
      </c>
      <c r="G39" s="2" t="s">
        <v>253</v>
      </c>
      <c r="H39" t="str">
        <f>"PH"&amp;MID(G39,IFERROR(FIND("PH-",G39)+3,IFERROR(FIND("ph-",G39)+3,IFERROR(FIND("PH",G39)+2,IFERROR(FIND("ph",G39)+2,0)))),3)</f>
        <v>PHBVN</v>
      </c>
      <c r="I39" t="str">
        <f>H39&amp;"_"&amp;E39</f>
        <v>PHBVN_45301</v>
      </c>
    </row>
    <row r="40" spans="1:9" x14ac:dyDescent="0.3">
      <c r="A40" s="2" t="s">
        <v>56</v>
      </c>
      <c r="B40" s="2">
        <v>871</v>
      </c>
      <c r="C40" s="2" t="s">
        <v>203</v>
      </c>
      <c r="D40" s="3">
        <v>45301</v>
      </c>
      <c r="E40" s="3">
        <v>45301</v>
      </c>
      <c r="F40" s="2" t="s">
        <v>58</v>
      </c>
      <c r="G40" s="2" t="s">
        <v>281</v>
      </c>
      <c r="H40" t="str">
        <f>"PH"&amp;MID(G40,IFERROR(FIND("PH-",G40)+3,IFERROR(FIND("ph-",G40)+3,IFERROR(FIND("PH",G40)+2,IFERROR(FIND("ph",G40)+2,0)))),3)</f>
        <v>PHBVK</v>
      </c>
      <c r="I40" t="str">
        <f>H40&amp;"_"&amp;E40</f>
        <v>PHBVK_45301</v>
      </c>
    </row>
    <row r="41" spans="1:9" x14ac:dyDescent="0.3">
      <c r="A41" s="2" t="s">
        <v>56</v>
      </c>
      <c r="B41" s="2">
        <v>677</v>
      </c>
      <c r="C41" s="2" t="s">
        <v>140</v>
      </c>
      <c r="D41" s="3">
        <v>45302</v>
      </c>
      <c r="E41" s="3">
        <v>45302</v>
      </c>
      <c r="F41" s="2" t="s">
        <v>58</v>
      </c>
      <c r="G41" s="2" t="s">
        <v>126</v>
      </c>
      <c r="H41" t="str">
        <f>"PH"&amp;MID(G41,IFERROR(FIND("PH-",G41)+3,IFERROR(FIND("ph-",G41)+3,IFERROR(FIND("PH",G41)+2,IFERROR(FIND("ph",G41)+2,0)))),3)</f>
        <v>PHBQH</v>
      </c>
      <c r="I41" t="str">
        <f>H41&amp;"_"&amp;E41</f>
        <v>PHBQH_45302</v>
      </c>
    </row>
    <row r="42" spans="1:9" x14ac:dyDescent="0.3">
      <c r="A42" s="2" t="s">
        <v>56</v>
      </c>
      <c r="B42" s="2">
        <v>695</v>
      </c>
      <c r="C42" s="2" t="s">
        <v>171</v>
      </c>
      <c r="D42" s="3">
        <v>45302</v>
      </c>
      <c r="E42" s="3">
        <v>45302</v>
      </c>
      <c r="F42" s="2" t="s">
        <v>58</v>
      </c>
      <c r="G42" s="2" t="s">
        <v>172</v>
      </c>
      <c r="H42" t="str">
        <f>"PH"&amp;MID(G42,IFERROR(FIND("PH-",G42)+3,IFERROR(FIND("ph-",G42)+3,IFERROR(FIND("PH",G42)+2,IFERROR(FIND("ph",G42)+2,0)))),3)</f>
        <v>PHAOC</v>
      </c>
      <c r="I42" t="str">
        <f>H42&amp;"_"&amp;E42</f>
        <v>PHAOC_45302</v>
      </c>
    </row>
    <row r="43" spans="1:9" x14ac:dyDescent="0.3">
      <c r="A43" s="2" t="s">
        <v>56</v>
      </c>
      <c r="B43" s="2">
        <v>791</v>
      </c>
      <c r="C43" s="2" t="s">
        <v>192</v>
      </c>
      <c r="D43" s="3">
        <v>45302</v>
      </c>
      <c r="E43" s="3">
        <v>45302</v>
      </c>
      <c r="F43" s="2" t="s">
        <v>58</v>
      </c>
      <c r="G43" s="2" t="s">
        <v>67</v>
      </c>
      <c r="H43" t="str">
        <f>"PH"&amp;MID(G43,IFERROR(FIND("PH-",G43)+3,IFERROR(FIND("ph-",G43)+3,IFERROR(FIND("PH",G43)+2,IFERROR(FIND("ph",G43)+2,0)))),3)</f>
        <v>PHBVN</v>
      </c>
      <c r="I43" t="str">
        <f>H43&amp;"_"&amp;E43</f>
        <v>PHBVN_45302</v>
      </c>
    </row>
    <row r="44" spans="1:9" x14ac:dyDescent="0.3">
      <c r="A44" s="2" t="s">
        <v>56</v>
      </c>
      <c r="B44" s="2">
        <v>661</v>
      </c>
      <c r="C44" s="2" t="s">
        <v>134</v>
      </c>
      <c r="D44" s="3">
        <v>45302</v>
      </c>
      <c r="E44" s="3">
        <v>45302</v>
      </c>
      <c r="F44" s="2" t="s">
        <v>58</v>
      </c>
      <c r="G44" s="2" t="s">
        <v>240</v>
      </c>
      <c r="H44" t="str">
        <f>"PH"&amp;MID(G44,IFERROR(FIND("PH-",G44)+3,IFERROR(FIND("ph-",G44)+3,IFERROR(FIND("PH",G44)+2,IFERROR(FIND("ph",G44)+2,0)))),3)</f>
        <v>PHBHA</v>
      </c>
      <c r="I44" t="str">
        <f>H44&amp;"_"&amp;E44</f>
        <v>PHBHA_45302</v>
      </c>
    </row>
    <row r="45" spans="1:9" x14ac:dyDescent="0.3">
      <c r="A45" s="2" t="s">
        <v>56</v>
      </c>
      <c r="B45" s="2">
        <v>681</v>
      </c>
      <c r="C45" s="2" t="s">
        <v>144</v>
      </c>
      <c r="D45" s="3">
        <v>45302</v>
      </c>
      <c r="E45" s="3">
        <v>45302</v>
      </c>
      <c r="F45" s="2" t="s">
        <v>58</v>
      </c>
      <c r="G45" s="2" t="s">
        <v>132</v>
      </c>
      <c r="H45" t="str">
        <f>"PH"&amp;MID(G45,IFERROR(FIND("PH-",G45)+3,IFERROR(FIND("ph-",G45)+3,IFERROR(FIND("PH",G45)+2,IFERROR(FIND("ph",G45)+2,0)))),3)</f>
        <v>PHAOB</v>
      </c>
      <c r="I45" t="str">
        <f>H45&amp;"_"&amp;E45</f>
        <v>PHAOB_45302</v>
      </c>
    </row>
    <row r="46" spans="1:9" x14ac:dyDescent="0.3">
      <c r="A46" s="2" t="s">
        <v>56</v>
      </c>
      <c r="B46" s="2">
        <v>743</v>
      </c>
      <c r="C46" s="2" t="s">
        <v>187</v>
      </c>
      <c r="D46" s="3">
        <v>45302</v>
      </c>
      <c r="E46" s="3">
        <v>45302</v>
      </c>
      <c r="F46" s="2" t="s">
        <v>58</v>
      </c>
      <c r="G46" s="2" t="s">
        <v>77</v>
      </c>
      <c r="H46" t="str">
        <f>"PH"&amp;MID(G46,IFERROR(FIND("PH-",G46)+3,IFERROR(FIND("ph-",G46)+3,IFERROR(FIND("PH",G46)+2,IFERROR(FIND("ph",G46)+2,0)))),3)</f>
        <v>PHBVK</v>
      </c>
      <c r="I46" t="str">
        <f>H46&amp;"_"&amp;E46</f>
        <v>PHBVK_45302</v>
      </c>
    </row>
    <row r="47" spans="1:9" x14ac:dyDescent="0.3">
      <c r="A47" s="2" t="s">
        <v>56</v>
      </c>
      <c r="B47" s="2">
        <v>565</v>
      </c>
      <c r="C47" s="2" t="s">
        <v>66</v>
      </c>
      <c r="D47" s="3">
        <v>45303</v>
      </c>
      <c r="E47" s="3">
        <v>45303</v>
      </c>
      <c r="F47" s="2" t="s">
        <v>58</v>
      </c>
      <c r="G47" s="2" t="s">
        <v>105</v>
      </c>
      <c r="H47" t="str">
        <f>"PH"&amp;MID(G47,IFERROR(FIND("PH-",G47)+3,IFERROR(FIND("ph-",G47)+3,IFERROR(FIND("PH",G47)+2,IFERROR(FIND("ph",G47)+2,0)))),3)</f>
        <v>PHBQH</v>
      </c>
      <c r="I47" t="str">
        <f>H47&amp;"_"&amp;E47</f>
        <v>PHBQH_45303</v>
      </c>
    </row>
    <row r="48" spans="1:9" x14ac:dyDescent="0.3">
      <c r="A48" s="2" t="s">
        <v>56</v>
      </c>
      <c r="B48" s="2">
        <v>691</v>
      </c>
      <c r="C48" s="2" t="s">
        <v>150</v>
      </c>
      <c r="D48" s="3">
        <v>45303</v>
      </c>
      <c r="E48" s="3">
        <v>45303</v>
      </c>
      <c r="F48" s="2" t="s">
        <v>58</v>
      </c>
      <c r="G48" s="2" t="s">
        <v>169</v>
      </c>
      <c r="H48" t="str">
        <f>"PH"&amp;MID(G48,IFERROR(FIND("PH-",G48)+3,IFERROR(FIND("ph-",G48)+3,IFERROR(FIND("PH",G48)+2,IFERROR(FIND("ph",G48)+2,0)))),3)</f>
        <v>PHAOB</v>
      </c>
      <c r="I48" t="str">
        <f>H48&amp;"_"&amp;E48</f>
        <v>PHAOB_45303</v>
      </c>
    </row>
    <row r="49" spans="1:9" x14ac:dyDescent="0.3">
      <c r="A49" s="2" t="s">
        <v>56</v>
      </c>
      <c r="B49" s="2">
        <v>809</v>
      </c>
      <c r="C49" s="2" t="s">
        <v>194</v>
      </c>
      <c r="D49" s="3">
        <v>45303</v>
      </c>
      <c r="E49" s="3">
        <v>45303</v>
      </c>
      <c r="F49" s="2" t="s">
        <v>58</v>
      </c>
      <c r="G49" s="2" t="s">
        <v>195</v>
      </c>
      <c r="H49" t="str">
        <f>"PH"&amp;MID(G49,IFERROR(FIND("PH-",G49)+3,IFERROR(FIND("ph-",G49)+3,IFERROR(FIND("PH",G49)+2,IFERROR(FIND("ph",G49)+2,0)))),3)</f>
        <v>PHBHC</v>
      </c>
      <c r="I49" t="str">
        <f>H49&amp;"_"&amp;E49</f>
        <v>PHBHC_45303</v>
      </c>
    </row>
    <row r="50" spans="1:9" x14ac:dyDescent="0.3">
      <c r="A50" s="2" t="s">
        <v>56</v>
      </c>
      <c r="B50" s="2">
        <v>651</v>
      </c>
      <c r="C50" s="2" t="s">
        <v>128</v>
      </c>
      <c r="D50" s="3">
        <v>45303</v>
      </c>
      <c r="E50" s="3">
        <v>45303</v>
      </c>
      <c r="F50" s="2" t="s">
        <v>58</v>
      </c>
      <c r="G50" s="2" t="s">
        <v>157</v>
      </c>
      <c r="H50" t="str">
        <f>"PH"&amp;MID(G50,IFERROR(FIND("PH-",G50)+3,IFERROR(FIND("ph-",G50)+3,IFERROR(FIND("PH",G50)+2,IFERROR(FIND("ph",G50)+2,0)))),3)</f>
        <v>PHAOC</v>
      </c>
      <c r="I50" t="str">
        <f>H50&amp;"_"&amp;E50</f>
        <v>PHAOC_45303</v>
      </c>
    </row>
    <row r="51" spans="1:9" x14ac:dyDescent="0.3">
      <c r="A51" s="2" t="s">
        <v>56</v>
      </c>
      <c r="B51" s="2">
        <v>867</v>
      </c>
      <c r="C51" s="2" t="s">
        <v>202</v>
      </c>
      <c r="D51" s="3">
        <v>45303</v>
      </c>
      <c r="E51" s="3">
        <v>45303</v>
      </c>
      <c r="F51" s="2" t="s">
        <v>58</v>
      </c>
      <c r="G51" s="2" t="s">
        <v>123</v>
      </c>
      <c r="H51" t="str">
        <f>"PH"&amp;MID(G51,IFERROR(FIND("PH-",G51)+3,IFERROR(FIND("ph-",G51)+3,IFERROR(FIND("PH",G51)+2,IFERROR(FIND("ph",G51)+2,0)))),3)</f>
        <v>PHBHA</v>
      </c>
      <c r="I51" t="str">
        <f>H51&amp;"_"&amp;E51</f>
        <v>PHBHA_45303</v>
      </c>
    </row>
    <row r="52" spans="1:9" x14ac:dyDescent="0.3">
      <c r="A52" s="2" t="s">
        <v>56</v>
      </c>
      <c r="B52" s="2">
        <v>897</v>
      </c>
      <c r="C52" s="2" t="s">
        <v>214</v>
      </c>
      <c r="D52" s="3">
        <v>45303</v>
      </c>
      <c r="E52" s="3">
        <v>45303</v>
      </c>
      <c r="F52" s="2" t="s">
        <v>58</v>
      </c>
      <c r="G52" s="2" t="s">
        <v>123</v>
      </c>
      <c r="H52" t="str">
        <f>"PH"&amp;MID(G52,IFERROR(FIND("PH-",G52)+3,IFERROR(FIND("ph-",G52)+3,IFERROR(FIND("PH",G52)+2,IFERROR(FIND("ph",G52)+2,0)))),3)</f>
        <v>PHBHA</v>
      </c>
      <c r="I52" t="str">
        <f>H52&amp;"_"&amp;E52</f>
        <v>PHBHA_45303</v>
      </c>
    </row>
    <row r="53" spans="1:9" x14ac:dyDescent="0.3">
      <c r="A53" s="2" t="s">
        <v>56</v>
      </c>
      <c r="B53" s="2">
        <v>895</v>
      </c>
      <c r="C53" s="2" t="s">
        <v>213</v>
      </c>
      <c r="D53" s="3">
        <v>45303</v>
      </c>
      <c r="E53" s="3">
        <v>45303</v>
      </c>
      <c r="F53" s="2" t="s">
        <v>58</v>
      </c>
      <c r="G53" s="2" t="s">
        <v>67</v>
      </c>
      <c r="H53" t="str">
        <f>"PH"&amp;MID(G53,IFERROR(FIND("PH-",G53)+3,IFERROR(FIND("ph-",G53)+3,IFERROR(FIND("PH",G53)+2,IFERROR(FIND("ph",G53)+2,0)))),3)</f>
        <v>PHBVN</v>
      </c>
      <c r="I53" t="str">
        <f>H53&amp;"_"&amp;E53</f>
        <v>PHBVN_45303</v>
      </c>
    </row>
    <row r="54" spans="1:9" x14ac:dyDescent="0.3">
      <c r="A54" s="2" t="s">
        <v>56</v>
      </c>
      <c r="B54" s="2">
        <v>661</v>
      </c>
      <c r="C54" s="2" t="s">
        <v>134</v>
      </c>
      <c r="D54" s="3">
        <v>45304</v>
      </c>
      <c r="E54" s="3">
        <v>45304</v>
      </c>
      <c r="F54" s="2" t="s">
        <v>58</v>
      </c>
      <c r="G54" s="2" t="s">
        <v>126</v>
      </c>
      <c r="H54" t="str">
        <f>"PH"&amp;MID(G54,IFERROR(FIND("PH-",G54)+3,IFERROR(FIND("ph-",G54)+3,IFERROR(FIND("PH",G54)+2,IFERROR(FIND("ph",G54)+2,0)))),3)</f>
        <v>PHBQH</v>
      </c>
      <c r="I54" t="str">
        <f>H54&amp;"_"&amp;E54</f>
        <v>PHBQH_45304</v>
      </c>
    </row>
    <row r="55" spans="1:9" x14ac:dyDescent="0.3">
      <c r="A55" s="2" t="s">
        <v>56</v>
      </c>
      <c r="B55" s="2">
        <v>591</v>
      </c>
      <c r="C55" s="2" t="s">
        <v>76</v>
      </c>
      <c r="D55" s="3">
        <v>45304</v>
      </c>
      <c r="E55" s="3">
        <v>45304</v>
      </c>
      <c r="F55" s="2" t="s">
        <v>58</v>
      </c>
      <c r="G55" s="2" t="s">
        <v>126</v>
      </c>
      <c r="H55" t="str">
        <f>"PH"&amp;MID(G55,IFERROR(FIND("PH-",G55)+3,IFERROR(FIND("ph-",G55)+3,IFERROR(FIND("PH",G55)+2,IFERROR(FIND("ph",G55)+2,0)))),3)</f>
        <v>PHBQH</v>
      </c>
      <c r="I55" t="str">
        <f>H55&amp;"_"&amp;E55</f>
        <v>PHBQH_45304</v>
      </c>
    </row>
    <row r="56" spans="1:9" x14ac:dyDescent="0.3">
      <c r="A56" s="2" t="s">
        <v>56</v>
      </c>
      <c r="B56" s="2">
        <v>701</v>
      </c>
      <c r="C56" s="2" t="s">
        <v>173</v>
      </c>
      <c r="D56" s="3">
        <v>45304</v>
      </c>
      <c r="E56" s="3">
        <v>45304</v>
      </c>
      <c r="F56" s="2" t="s">
        <v>58</v>
      </c>
      <c r="G56" s="2" t="s">
        <v>247</v>
      </c>
      <c r="H56" t="str">
        <f>"PH"&amp;MID(G56,IFERROR(FIND("PH-",G56)+3,IFERROR(FIND("ph-",G56)+3,IFERROR(FIND("PH",G56)+2,IFERROR(FIND("ph",G56)+2,0)))),3)</f>
        <v>PHBHA</v>
      </c>
      <c r="I56" t="str">
        <f>H56&amp;"_"&amp;E56</f>
        <v>PHBHA_45304</v>
      </c>
    </row>
    <row r="57" spans="1:9" x14ac:dyDescent="0.3">
      <c r="A57" s="2" t="s">
        <v>56</v>
      </c>
      <c r="B57" s="2">
        <v>871</v>
      </c>
      <c r="C57" s="2" t="s">
        <v>203</v>
      </c>
      <c r="D57" s="3">
        <v>45304</v>
      </c>
      <c r="E57" s="3">
        <v>45304</v>
      </c>
      <c r="F57" s="2" t="s">
        <v>58</v>
      </c>
      <c r="G57" s="2" t="s">
        <v>281</v>
      </c>
      <c r="H57" t="str">
        <f>"PH"&amp;MID(G57,IFERROR(FIND("PH-",G57)+3,IFERROR(FIND("ph-",G57)+3,IFERROR(FIND("PH",G57)+2,IFERROR(FIND("ph",G57)+2,0)))),3)</f>
        <v>PHBVK</v>
      </c>
      <c r="I57" t="str">
        <f>H57&amp;"_"&amp;E57</f>
        <v>PHBVK_45304</v>
      </c>
    </row>
    <row r="58" spans="1:9" x14ac:dyDescent="0.3">
      <c r="A58" s="2" t="s">
        <v>56</v>
      </c>
      <c r="B58" s="2">
        <v>589</v>
      </c>
      <c r="C58" s="2" t="s">
        <v>74</v>
      </c>
      <c r="D58" s="3">
        <v>45305</v>
      </c>
      <c r="E58" s="3">
        <v>45305</v>
      </c>
      <c r="F58" s="2" t="s">
        <v>58</v>
      </c>
      <c r="G58" s="2" t="s">
        <v>126</v>
      </c>
      <c r="H58" t="str">
        <f>"PH"&amp;MID(G58,IFERROR(FIND("PH-",G58)+3,IFERROR(FIND("ph-",G58)+3,IFERROR(FIND("PH",G58)+2,IFERROR(FIND("ph",G58)+2,0)))),3)</f>
        <v>PHBQH</v>
      </c>
      <c r="I58" t="str">
        <f>H58&amp;"_"&amp;E58</f>
        <v>PHBQH_45305</v>
      </c>
    </row>
    <row r="59" spans="1:9" x14ac:dyDescent="0.3">
      <c r="A59" s="2" t="s">
        <v>56</v>
      </c>
      <c r="B59" s="2">
        <v>591</v>
      </c>
      <c r="C59" s="2" t="s">
        <v>76</v>
      </c>
      <c r="D59" s="3">
        <v>45305</v>
      </c>
      <c r="E59" s="3">
        <v>45305</v>
      </c>
      <c r="F59" s="2" t="s">
        <v>58</v>
      </c>
      <c r="G59" s="2" t="s">
        <v>227</v>
      </c>
      <c r="H59" t="str">
        <f>"PH"&amp;MID(G59,IFERROR(FIND("PH-",G59)+3,IFERROR(FIND("ph-",G59)+3,IFERROR(FIND("PH",G59)+2,IFERROR(FIND("ph",G59)+2,0)))),3)</f>
        <v>PHBHA</v>
      </c>
      <c r="I59" t="str">
        <f>H59&amp;"_"&amp;E59</f>
        <v>PHBHA_45305</v>
      </c>
    </row>
    <row r="60" spans="1:9" x14ac:dyDescent="0.3">
      <c r="A60" s="2" t="s">
        <v>56</v>
      </c>
      <c r="B60" s="2">
        <v>693</v>
      </c>
      <c r="C60" s="2" t="s">
        <v>154</v>
      </c>
      <c r="D60" s="3">
        <v>45305</v>
      </c>
      <c r="E60" s="3">
        <v>45305</v>
      </c>
      <c r="F60" s="2" t="s">
        <v>58</v>
      </c>
      <c r="G60" s="2" t="s">
        <v>145</v>
      </c>
      <c r="H60" t="str">
        <f>"PH"&amp;MID(G60,IFERROR(FIND("PH-",G60)+3,IFERROR(FIND("ph-",G60)+3,IFERROR(FIND("PH",G60)+2,IFERROR(FIND("ph",G60)+2,0)))),3)</f>
        <v>PHAOC</v>
      </c>
      <c r="I60" t="str">
        <f>H60&amp;"_"&amp;E60</f>
        <v>PHAOC_45305</v>
      </c>
    </row>
    <row r="61" spans="1:9" x14ac:dyDescent="0.3">
      <c r="A61" s="2" t="s">
        <v>56</v>
      </c>
      <c r="B61" s="2">
        <v>875</v>
      </c>
      <c r="C61" s="2" t="s">
        <v>205</v>
      </c>
      <c r="D61" s="3">
        <v>45305</v>
      </c>
      <c r="E61" s="3">
        <v>45305</v>
      </c>
      <c r="F61" s="2" t="s">
        <v>58</v>
      </c>
      <c r="G61" s="2" t="s">
        <v>77</v>
      </c>
      <c r="H61" t="str">
        <f>"PH"&amp;MID(G61,IFERROR(FIND("PH-",G61)+3,IFERROR(FIND("ph-",G61)+3,IFERROR(FIND("PH",G61)+2,IFERROR(FIND("ph",G61)+2,0)))),3)</f>
        <v>PHBVK</v>
      </c>
      <c r="I61" t="str">
        <f>H61&amp;"_"&amp;E61</f>
        <v>PHBVK_45305</v>
      </c>
    </row>
    <row r="62" spans="1:9" x14ac:dyDescent="0.3">
      <c r="A62" s="2" t="s">
        <v>56</v>
      </c>
      <c r="B62" s="2">
        <v>861</v>
      </c>
      <c r="C62" s="2" t="s">
        <v>200</v>
      </c>
      <c r="D62" s="3">
        <v>45306</v>
      </c>
      <c r="E62" s="3">
        <v>45306</v>
      </c>
      <c r="F62" s="2" t="s">
        <v>58</v>
      </c>
      <c r="G62" s="2" t="s">
        <v>126</v>
      </c>
      <c r="H62" t="str">
        <f>"PH"&amp;MID(G62,IFERROR(FIND("PH-",G62)+3,IFERROR(FIND("ph-",G62)+3,IFERROR(FIND("PH",G62)+2,IFERROR(FIND("ph",G62)+2,0)))),3)</f>
        <v>PHBQH</v>
      </c>
      <c r="I62" t="str">
        <f>H62&amp;"_"&amp;E62</f>
        <v>PHBQH_45306</v>
      </c>
    </row>
    <row r="63" spans="1:9" x14ac:dyDescent="0.3">
      <c r="A63" s="2" t="s">
        <v>56</v>
      </c>
      <c r="B63" s="2">
        <v>681</v>
      </c>
      <c r="C63" s="2" t="s">
        <v>144</v>
      </c>
      <c r="D63" s="3">
        <v>45306</v>
      </c>
      <c r="E63" s="3">
        <v>45306</v>
      </c>
      <c r="F63" s="2" t="s">
        <v>58</v>
      </c>
      <c r="G63" s="2" t="s">
        <v>145</v>
      </c>
      <c r="H63" t="str">
        <f>"PH"&amp;MID(G63,IFERROR(FIND("PH-",G63)+3,IFERROR(FIND("ph-",G63)+3,IFERROR(FIND("PH",G63)+2,IFERROR(FIND("ph",G63)+2,0)))),3)</f>
        <v>PHAOC</v>
      </c>
      <c r="I63" t="str">
        <f>H63&amp;"_"&amp;E63</f>
        <v>PHAOC_45306</v>
      </c>
    </row>
    <row r="64" spans="1:9" x14ac:dyDescent="0.3">
      <c r="A64" s="2" t="s">
        <v>56</v>
      </c>
      <c r="B64" s="2">
        <v>867</v>
      </c>
      <c r="C64" s="2" t="s">
        <v>202</v>
      </c>
      <c r="D64" s="3">
        <v>45306</v>
      </c>
      <c r="E64" s="3">
        <v>45306</v>
      </c>
      <c r="F64" s="2" t="s">
        <v>58</v>
      </c>
      <c r="G64" s="2" t="s">
        <v>123</v>
      </c>
      <c r="H64" t="str">
        <f>"PH"&amp;MID(G64,IFERROR(FIND("PH-",G64)+3,IFERROR(FIND("ph-",G64)+3,IFERROR(FIND("PH",G64)+2,IFERROR(FIND("ph",G64)+2,0)))),3)</f>
        <v>PHBHA</v>
      </c>
      <c r="I64" t="str">
        <f>H64&amp;"_"&amp;E64</f>
        <v>PHBHA_45306</v>
      </c>
    </row>
    <row r="65" spans="1:9" x14ac:dyDescent="0.3">
      <c r="A65" s="2" t="s">
        <v>56</v>
      </c>
      <c r="B65" s="2">
        <v>651</v>
      </c>
      <c r="C65" s="2" t="s">
        <v>128</v>
      </c>
      <c r="D65" s="3">
        <v>45307</v>
      </c>
      <c r="E65" s="3">
        <v>45307</v>
      </c>
      <c r="F65" s="2" t="s">
        <v>58</v>
      </c>
      <c r="G65" s="2" t="s">
        <v>232</v>
      </c>
      <c r="H65" t="str">
        <f>"PH"&amp;MID(G65,IFERROR(FIND("PH-",G65)+3,IFERROR(FIND("ph-",G65)+3,IFERROR(FIND("PH",G65)+2,IFERROR(FIND("ph",G65)+2,0)))),3)</f>
        <v>PHAOB</v>
      </c>
      <c r="I65" t="str">
        <f>H65&amp;"_"&amp;E65</f>
        <v>PHAOB_45307</v>
      </c>
    </row>
    <row r="66" spans="1:9" x14ac:dyDescent="0.3">
      <c r="A66" s="2" t="s">
        <v>56</v>
      </c>
      <c r="B66" s="2">
        <v>705</v>
      </c>
      <c r="C66" s="2" t="s">
        <v>177</v>
      </c>
      <c r="D66" s="3">
        <v>45307</v>
      </c>
      <c r="E66" s="3">
        <v>45307</v>
      </c>
      <c r="F66" s="2" t="s">
        <v>58</v>
      </c>
      <c r="G66" s="2" t="s">
        <v>249</v>
      </c>
      <c r="H66" t="str">
        <f>"PH"&amp;MID(G66,IFERROR(FIND("PH-",G66)+3,IFERROR(FIND("ph-",G66)+3,IFERROR(FIND("PH",G66)+2,IFERROR(FIND("ph",G66)+2,0)))),3)</f>
        <v>PHBHN</v>
      </c>
      <c r="I66" t="str">
        <f>H66&amp;"_"&amp;E66</f>
        <v>PHBHN_45307</v>
      </c>
    </row>
    <row r="67" spans="1:9" x14ac:dyDescent="0.3">
      <c r="A67" s="2" t="s">
        <v>56</v>
      </c>
      <c r="B67" s="2">
        <v>641</v>
      </c>
      <c r="C67" s="2" t="s">
        <v>96</v>
      </c>
      <c r="D67" s="3">
        <v>45308</v>
      </c>
      <c r="E67" s="3">
        <v>45308</v>
      </c>
      <c r="F67" s="2" t="s">
        <v>58</v>
      </c>
      <c r="G67" s="2" t="s">
        <v>123</v>
      </c>
      <c r="H67" t="str">
        <f>"PH"&amp;MID(G67,IFERROR(FIND("PH-",G67)+3,IFERROR(FIND("ph-",G67)+3,IFERROR(FIND("PH",G67)+2,IFERROR(FIND("ph",G67)+2,0)))),3)</f>
        <v>PHBHA</v>
      </c>
      <c r="I67" t="str">
        <f>H67&amp;"_"&amp;E67</f>
        <v>PHBHA_45308</v>
      </c>
    </row>
    <row r="68" spans="1:9" x14ac:dyDescent="0.3">
      <c r="A68" s="2" t="s">
        <v>56</v>
      </c>
      <c r="B68" s="2">
        <v>655</v>
      </c>
      <c r="C68" s="2" t="s">
        <v>131</v>
      </c>
      <c r="D68" s="3">
        <v>45308</v>
      </c>
      <c r="E68" s="3">
        <v>45308</v>
      </c>
      <c r="F68" s="2" t="s">
        <v>58</v>
      </c>
      <c r="G68" s="2" t="s">
        <v>145</v>
      </c>
      <c r="H68" t="str">
        <f>"PH"&amp;MID(G68,IFERROR(FIND("PH-",G68)+3,IFERROR(FIND("ph-",G68)+3,IFERROR(FIND("PH",G68)+2,IFERROR(FIND("ph",G68)+2,0)))),3)</f>
        <v>PHAOC</v>
      </c>
      <c r="I68" t="str">
        <f>H68&amp;"_"&amp;E68</f>
        <v>PHAOC_45308</v>
      </c>
    </row>
    <row r="69" spans="1:9" x14ac:dyDescent="0.3">
      <c r="A69" s="2" t="s">
        <v>56</v>
      </c>
      <c r="B69" s="2">
        <v>685</v>
      </c>
      <c r="C69" s="2" t="s">
        <v>146</v>
      </c>
      <c r="D69" s="3">
        <v>45308</v>
      </c>
      <c r="E69" s="3">
        <v>45308</v>
      </c>
      <c r="F69" s="2" t="s">
        <v>58</v>
      </c>
      <c r="G69" s="2" t="s">
        <v>92</v>
      </c>
      <c r="H69" t="str">
        <f>"PH"&amp;MID(G69,IFERROR(FIND("PH-",G69)+3,IFERROR(FIND("ph-",G69)+3,IFERROR(FIND("PH",G69)+2,IFERROR(FIND("ph",G69)+2,0)))),3)</f>
        <v>PHBHN</v>
      </c>
      <c r="I69" t="str">
        <f>H69&amp;"_"&amp;E69</f>
        <v>PHBHN_45308</v>
      </c>
    </row>
    <row r="70" spans="1:9" x14ac:dyDescent="0.3">
      <c r="A70" s="2" t="s">
        <v>56</v>
      </c>
      <c r="B70" s="2">
        <v>897</v>
      </c>
      <c r="C70" s="2" t="s">
        <v>214</v>
      </c>
      <c r="D70" s="3">
        <v>45308</v>
      </c>
      <c r="E70" s="3">
        <v>45308</v>
      </c>
      <c r="F70" s="2" t="s">
        <v>58</v>
      </c>
      <c r="G70" s="2" t="s">
        <v>92</v>
      </c>
      <c r="H70" t="str">
        <f>"PH"&amp;MID(G70,IFERROR(FIND("PH-",G70)+3,IFERROR(FIND("ph-",G70)+3,IFERROR(FIND("PH",G70)+2,IFERROR(FIND("ph",G70)+2,0)))),3)</f>
        <v>PHBHN</v>
      </c>
      <c r="I70" t="str">
        <f>H70&amp;"_"&amp;E70</f>
        <v>PHBHN_45308</v>
      </c>
    </row>
    <row r="71" spans="1:9" x14ac:dyDescent="0.3">
      <c r="A71" s="2" t="s">
        <v>56</v>
      </c>
      <c r="B71" s="2">
        <v>897</v>
      </c>
      <c r="C71" s="2" t="s">
        <v>214</v>
      </c>
      <c r="D71" s="3">
        <v>45309</v>
      </c>
      <c r="E71" s="3">
        <v>45309</v>
      </c>
      <c r="F71" s="2" t="s">
        <v>58</v>
      </c>
      <c r="G71" s="2" t="s">
        <v>92</v>
      </c>
      <c r="H71" t="str">
        <f>"PH"&amp;MID(G71,IFERROR(FIND("PH-",G71)+3,IFERROR(FIND("ph-",G71)+3,IFERROR(FIND("PH",G71)+2,IFERROR(FIND("ph",G71)+2,0)))),3)</f>
        <v>PHBHN</v>
      </c>
      <c r="I71" t="str">
        <f>H71&amp;"_"&amp;E71</f>
        <v>PHBHN_45309</v>
      </c>
    </row>
    <row r="72" spans="1:9" x14ac:dyDescent="0.3">
      <c r="A72" s="2" t="s">
        <v>56</v>
      </c>
      <c r="B72" s="2">
        <v>695</v>
      </c>
      <c r="C72" s="2" t="s">
        <v>171</v>
      </c>
      <c r="D72" s="3">
        <v>45309</v>
      </c>
      <c r="E72" s="3">
        <v>45309</v>
      </c>
      <c r="F72" s="2" t="s">
        <v>58</v>
      </c>
      <c r="G72" s="2" t="s">
        <v>246</v>
      </c>
      <c r="H72" t="str">
        <f>"PH"&amp;MID(G72,IFERROR(FIND("PH-",G72)+3,IFERROR(FIND("ph-",G72)+3,IFERROR(FIND("PH",G72)+2,IFERROR(FIND("ph",G72)+2,0)))),3)</f>
        <v>PHAOC</v>
      </c>
      <c r="I72" t="str">
        <f>H72&amp;"_"&amp;E72</f>
        <v>PHAOC_45309</v>
      </c>
    </row>
    <row r="73" spans="1:9" x14ac:dyDescent="0.3">
      <c r="A73" s="2" t="s">
        <v>56</v>
      </c>
      <c r="B73" s="2">
        <v>807</v>
      </c>
      <c r="C73" s="2" t="s">
        <v>193</v>
      </c>
      <c r="D73" s="3">
        <v>45309</v>
      </c>
      <c r="E73" s="3">
        <v>45309</v>
      </c>
      <c r="F73" s="2" t="s">
        <v>58</v>
      </c>
      <c r="G73" s="2" t="s">
        <v>92</v>
      </c>
      <c r="H73" t="str">
        <f>"PH"&amp;MID(G73,IFERROR(FIND("PH-",G73)+3,IFERROR(FIND("ph-",G73)+3,IFERROR(FIND("PH",G73)+2,IFERROR(FIND("ph",G73)+2,0)))),3)</f>
        <v>PHBHN</v>
      </c>
      <c r="I73" t="str">
        <f>H73&amp;"_"&amp;E73</f>
        <v>PHBHN_45309</v>
      </c>
    </row>
    <row r="74" spans="1:9" x14ac:dyDescent="0.3">
      <c r="A74" s="2" t="s">
        <v>56</v>
      </c>
      <c r="B74" s="2">
        <v>691</v>
      </c>
      <c r="C74" s="2" t="s">
        <v>150</v>
      </c>
      <c r="D74" s="3">
        <v>45310</v>
      </c>
      <c r="E74" s="3">
        <v>45310</v>
      </c>
      <c r="F74" s="2" t="s">
        <v>58</v>
      </c>
      <c r="G74" s="2" t="s">
        <v>151</v>
      </c>
      <c r="H74" t="str">
        <f>"PH"&amp;MID(G74,IFERROR(FIND("PH-",G74)+3,IFERROR(FIND("ph-",G74)+3,IFERROR(FIND("PH",G74)+2,IFERROR(FIND("ph",G74)+2,0)))),3)</f>
        <v>PHAOB</v>
      </c>
      <c r="I74" t="str">
        <f>H74&amp;"_"&amp;E74</f>
        <v>PHAOB_45310</v>
      </c>
    </row>
    <row r="75" spans="1:9" x14ac:dyDescent="0.3">
      <c r="A75" s="2" t="s">
        <v>56</v>
      </c>
      <c r="B75" s="2">
        <v>651</v>
      </c>
      <c r="C75" s="2" t="s">
        <v>128</v>
      </c>
      <c r="D75" s="3">
        <v>45310</v>
      </c>
      <c r="E75" s="3">
        <v>45310</v>
      </c>
      <c r="F75" s="2" t="s">
        <v>58</v>
      </c>
      <c r="G75" s="2" t="s">
        <v>157</v>
      </c>
      <c r="H75" t="str">
        <f>"PH"&amp;MID(G75,IFERROR(FIND("PH-",G75)+3,IFERROR(FIND("ph-",G75)+3,IFERROR(FIND("PH",G75)+2,IFERROR(FIND("ph",G75)+2,0)))),3)</f>
        <v>PHAOC</v>
      </c>
      <c r="I75" t="str">
        <f>H75&amp;"_"&amp;E75</f>
        <v>PHAOC_45310</v>
      </c>
    </row>
    <row r="76" spans="1:9" x14ac:dyDescent="0.3">
      <c r="A76" s="2" t="s">
        <v>56</v>
      </c>
      <c r="B76" s="2">
        <v>641</v>
      </c>
      <c r="C76" s="2" t="s">
        <v>96</v>
      </c>
      <c r="D76" s="3">
        <v>45310</v>
      </c>
      <c r="E76" s="3">
        <v>45310</v>
      </c>
      <c r="F76" s="2" t="s">
        <v>58</v>
      </c>
      <c r="G76" s="2" t="s">
        <v>84</v>
      </c>
      <c r="H76" t="str">
        <f>"PH"&amp;MID(G76,IFERROR(FIND("PH-",G76)+3,IFERROR(FIND("ph-",G76)+3,IFERROR(FIND("PH",G76)+2,IFERROR(FIND("ph",G76)+2,0)))),3)</f>
        <v>PHBKI</v>
      </c>
      <c r="I76" t="str">
        <f>H76&amp;"_"&amp;E76</f>
        <v>PHBKI_45310</v>
      </c>
    </row>
    <row r="77" spans="1:9" x14ac:dyDescent="0.3">
      <c r="A77" s="2" t="s">
        <v>56</v>
      </c>
      <c r="B77" s="2">
        <v>777</v>
      </c>
      <c r="C77" s="2" t="s">
        <v>191</v>
      </c>
      <c r="D77" s="3">
        <v>45310</v>
      </c>
      <c r="E77" s="3">
        <v>45310</v>
      </c>
      <c r="F77" s="2" t="s">
        <v>58</v>
      </c>
      <c r="G77" s="2" t="s">
        <v>145</v>
      </c>
      <c r="H77" t="str">
        <f>"PH"&amp;MID(G77,IFERROR(FIND("PH-",G77)+3,IFERROR(FIND("ph-",G77)+3,IFERROR(FIND("PH",G77)+2,IFERROR(FIND("ph",G77)+2,0)))),3)</f>
        <v>PHAOC</v>
      </c>
      <c r="I77" t="str">
        <f>H77&amp;"_"&amp;E77</f>
        <v>PHAOC_45310</v>
      </c>
    </row>
    <row r="78" spans="1:9" x14ac:dyDescent="0.3">
      <c r="A78" s="2" t="s">
        <v>56</v>
      </c>
      <c r="B78" s="2">
        <v>621</v>
      </c>
      <c r="C78" s="2" t="s">
        <v>83</v>
      </c>
      <c r="D78" s="3">
        <v>45311</v>
      </c>
      <c r="E78" s="3">
        <v>45311</v>
      </c>
      <c r="F78" s="2" t="s">
        <v>58</v>
      </c>
      <c r="G78" s="2" t="s">
        <v>84</v>
      </c>
      <c r="H78" t="str">
        <f>"PH"&amp;MID(G78,IFERROR(FIND("PH-",G78)+3,IFERROR(FIND("ph-",G78)+3,IFERROR(FIND("PH",G78)+2,IFERROR(FIND("ph",G78)+2,0)))),3)</f>
        <v>PHBKI</v>
      </c>
      <c r="I78" t="str">
        <f>H78&amp;"_"&amp;E78</f>
        <v>PHBKI_45311</v>
      </c>
    </row>
    <row r="79" spans="1:9" x14ac:dyDescent="0.3">
      <c r="A79" s="2" t="s">
        <v>56</v>
      </c>
      <c r="B79" s="2">
        <v>689</v>
      </c>
      <c r="C79" s="2" t="s">
        <v>149</v>
      </c>
      <c r="D79" s="3">
        <v>45311</v>
      </c>
      <c r="E79" s="3">
        <v>45311</v>
      </c>
      <c r="F79" s="2" t="s">
        <v>58</v>
      </c>
      <c r="G79" s="2" t="s">
        <v>168</v>
      </c>
      <c r="H79" t="str">
        <f>"PH"&amp;MID(G79,IFERROR(FIND("PH-",G79)+3,IFERROR(FIND("ph-",G79)+3,IFERROR(FIND("PH",G79)+2,IFERROR(FIND("ph",G79)+2,0)))),3)</f>
        <v>PHBHN</v>
      </c>
      <c r="I79" t="str">
        <f>H79&amp;"_"&amp;E79</f>
        <v>PHBHN_45311</v>
      </c>
    </row>
    <row r="80" spans="1:9" x14ac:dyDescent="0.3">
      <c r="A80" s="2" t="s">
        <v>56</v>
      </c>
      <c r="B80" s="2">
        <v>655</v>
      </c>
      <c r="C80" s="2" t="s">
        <v>131</v>
      </c>
      <c r="D80" s="3">
        <v>45311</v>
      </c>
      <c r="E80" s="3">
        <v>45311</v>
      </c>
      <c r="F80" s="2" t="s">
        <v>58</v>
      </c>
      <c r="G80" s="2" t="s">
        <v>145</v>
      </c>
      <c r="H80" t="str">
        <f>"PH"&amp;MID(G80,IFERROR(FIND("PH-",G80)+3,IFERROR(FIND("ph-",G80)+3,IFERROR(FIND("PH",G80)+2,IFERROR(FIND("ph",G80)+2,0)))),3)</f>
        <v>PHAOC</v>
      </c>
      <c r="I80" t="str">
        <f>H80&amp;"_"&amp;E80</f>
        <v>PHAOC_45311</v>
      </c>
    </row>
    <row r="81" spans="1:9" x14ac:dyDescent="0.3">
      <c r="A81" s="2" t="s">
        <v>56</v>
      </c>
      <c r="B81" s="2">
        <v>765</v>
      </c>
      <c r="C81" s="2" t="s">
        <v>190</v>
      </c>
      <c r="D81" s="3">
        <v>45311</v>
      </c>
      <c r="E81" s="3">
        <v>45311</v>
      </c>
      <c r="F81" s="2" t="s">
        <v>58</v>
      </c>
      <c r="G81" s="2" t="s">
        <v>259</v>
      </c>
      <c r="H81" t="str">
        <f>"PH"&amp;MID(G81,IFERROR(FIND("PH-",G81)+3,IFERROR(FIND("ph-",G81)+3,IFERROR(FIND("PH",G81)+2,IFERROR(FIND("ph",G81)+2,0)))),3)</f>
        <v>PHAOB</v>
      </c>
      <c r="I81" t="str">
        <f>H81&amp;"_"&amp;E81</f>
        <v>PHAOB_45311</v>
      </c>
    </row>
    <row r="82" spans="1:9" x14ac:dyDescent="0.3">
      <c r="A82" s="2" t="s">
        <v>56</v>
      </c>
      <c r="B82" s="2">
        <v>621</v>
      </c>
      <c r="C82" s="2" t="s">
        <v>83</v>
      </c>
      <c r="D82" s="3">
        <v>45312</v>
      </c>
      <c r="E82" s="3">
        <v>45312</v>
      </c>
      <c r="F82" s="2" t="s">
        <v>58</v>
      </c>
      <c r="G82" s="2" t="s">
        <v>84</v>
      </c>
      <c r="H82" t="str">
        <f>"PH"&amp;MID(G82,IFERROR(FIND("PH-",G82)+3,IFERROR(FIND("ph-",G82)+3,IFERROR(FIND("PH",G82)+2,IFERROR(FIND("ph",G82)+2,0)))),3)</f>
        <v>PHBKI</v>
      </c>
      <c r="I82" t="str">
        <f>H82&amp;"_"&amp;E82</f>
        <v>PHBKI_45312</v>
      </c>
    </row>
    <row r="83" spans="1:9" x14ac:dyDescent="0.3">
      <c r="A83" s="2" t="s">
        <v>56</v>
      </c>
      <c r="B83" s="2">
        <v>701</v>
      </c>
      <c r="C83" s="2" t="s">
        <v>173</v>
      </c>
      <c r="D83" s="3">
        <v>45312</v>
      </c>
      <c r="E83" s="3">
        <v>45312</v>
      </c>
      <c r="F83" s="2" t="s">
        <v>58</v>
      </c>
      <c r="G83" s="2" t="s">
        <v>92</v>
      </c>
      <c r="H83" t="str">
        <f>"PH"&amp;MID(G83,IFERROR(FIND("PH-",G83)+3,IFERROR(FIND("ph-",G83)+3,IFERROR(FIND("PH",G83)+2,IFERROR(FIND("ph",G83)+2,0)))),3)</f>
        <v>PHBHN</v>
      </c>
      <c r="I83" t="str">
        <f>H83&amp;"_"&amp;E83</f>
        <v>PHBHN_45312</v>
      </c>
    </row>
    <row r="84" spans="1:9" x14ac:dyDescent="0.3">
      <c r="A84" s="2" t="s">
        <v>56</v>
      </c>
      <c r="B84" s="2">
        <v>809</v>
      </c>
      <c r="C84" s="2" t="s">
        <v>194</v>
      </c>
      <c r="D84" s="3">
        <v>45312</v>
      </c>
      <c r="E84" s="3">
        <v>45312</v>
      </c>
      <c r="F84" s="2" t="s">
        <v>58</v>
      </c>
      <c r="G84" s="2" t="s">
        <v>274</v>
      </c>
      <c r="H84" t="str">
        <f>"PH"&amp;MID(G84,IFERROR(FIND("PH-",G84)+3,IFERROR(FIND("ph-",G84)+3,IFERROR(FIND("PH",G84)+2,IFERROR(FIND("ph",G84)+2,0)))),3)</f>
        <v>PHBHA</v>
      </c>
      <c r="I84" t="str">
        <f>H84&amp;"_"&amp;E84</f>
        <v>PHBHA_45312</v>
      </c>
    </row>
    <row r="85" spans="1:9" x14ac:dyDescent="0.3">
      <c r="A85" s="2" t="s">
        <v>56</v>
      </c>
      <c r="B85" s="2">
        <v>681</v>
      </c>
      <c r="C85" s="2" t="s">
        <v>144</v>
      </c>
      <c r="D85" s="3">
        <v>45313</v>
      </c>
      <c r="E85" s="3">
        <v>45313</v>
      </c>
      <c r="F85" s="2" t="s">
        <v>58</v>
      </c>
      <c r="G85" s="2" t="s">
        <v>145</v>
      </c>
      <c r="H85" t="str">
        <f>"PH"&amp;MID(G85,IFERROR(FIND("PH-",G85)+3,IFERROR(FIND("ph-",G85)+3,IFERROR(FIND("PH",G85)+2,IFERROR(FIND("ph",G85)+2,0)))),3)</f>
        <v>PHAOC</v>
      </c>
      <c r="I85" t="str">
        <f>H85&amp;"_"&amp;E85</f>
        <v>PHAOC_45313</v>
      </c>
    </row>
    <row r="86" spans="1:9" x14ac:dyDescent="0.3">
      <c r="A86" s="2" t="s">
        <v>56</v>
      </c>
      <c r="B86" s="2">
        <v>427</v>
      </c>
      <c r="C86" s="2" t="s">
        <v>63</v>
      </c>
      <c r="D86" s="3">
        <v>45313</v>
      </c>
      <c r="E86" s="3">
        <v>45313</v>
      </c>
      <c r="F86" s="2" t="s">
        <v>58</v>
      </c>
      <c r="G86" s="2" t="s">
        <v>84</v>
      </c>
      <c r="H86" t="str">
        <f>"PH"&amp;MID(G86,IFERROR(FIND("PH-",G86)+3,IFERROR(FIND("ph-",G86)+3,IFERROR(FIND("PH",G86)+2,IFERROR(FIND("ph",G86)+2,0)))),3)</f>
        <v>PHBKI</v>
      </c>
      <c r="I86" t="str">
        <f>H86&amp;"_"&amp;E86</f>
        <v>PHBKI_45313</v>
      </c>
    </row>
    <row r="87" spans="1:9" x14ac:dyDescent="0.3">
      <c r="A87" s="2" t="s">
        <v>56</v>
      </c>
      <c r="B87" s="2">
        <v>417</v>
      </c>
      <c r="C87" s="2" t="s">
        <v>57</v>
      </c>
      <c r="D87" s="3">
        <v>45314</v>
      </c>
      <c r="E87" s="3">
        <v>45314</v>
      </c>
      <c r="F87" s="2" t="s">
        <v>58</v>
      </c>
      <c r="G87" s="2" t="s">
        <v>59</v>
      </c>
      <c r="H87" t="str">
        <f>"PH"&amp;MID(G87,IFERROR(FIND("PH-",G87)+3,IFERROR(FIND("ph-",G87)+3,IFERROR(FIND("PH",G87)+2,IFERROR(FIND("ph",G87)+2,0)))),3)</f>
        <v>PHAOC</v>
      </c>
      <c r="I87" t="str">
        <f>H87&amp;"_"&amp;E87</f>
        <v>PHAOC_45314</v>
      </c>
    </row>
    <row r="88" spans="1:9" x14ac:dyDescent="0.3">
      <c r="A88" s="2" t="s">
        <v>56</v>
      </c>
      <c r="B88" s="2">
        <v>635</v>
      </c>
      <c r="C88" s="2" t="s">
        <v>91</v>
      </c>
      <c r="D88" s="3">
        <v>45314</v>
      </c>
      <c r="E88" s="3">
        <v>45314</v>
      </c>
      <c r="F88" s="2" t="s">
        <v>58</v>
      </c>
      <c r="G88" s="2" t="s">
        <v>123</v>
      </c>
      <c r="H88" t="str">
        <f>"PH"&amp;MID(G88,IFERROR(FIND("PH-",G88)+3,IFERROR(FIND("ph-",G88)+3,IFERROR(FIND("PH",G88)+2,IFERROR(FIND("ph",G88)+2,0)))),3)</f>
        <v>PHBHA</v>
      </c>
      <c r="I88" t="str">
        <f>H88&amp;"_"&amp;E88</f>
        <v>PHBHA_45314</v>
      </c>
    </row>
    <row r="89" spans="1:9" x14ac:dyDescent="0.3">
      <c r="A89" s="2" t="s">
        <v>56</v>
      </c>
      <c r="B89" s="2">
        <v>695</v>
      </c>
      <c r="C89" s="2" t="s">
        <v>171</v>
      </c>
      <c r="D89" s="3">
        <v>45314</v>
      </c>
      <c r="E89" s="3">
        <v>45314</v>
      </c>
      <c r="F89" s="2" t="s">
        <v>58</v>
      </c>
      <c r="G89" s="2" t="s">
        <v>145</v>
      </c>
      <c r="H89" t="str">
        <f>"PH"&amp;MID(G89,IFERROR(FIND("PH-",G89)+3,IFERROR(FIND("ph-",G89)+3,IFERROR(FIND("PH",G89)+2,IFERROR(FIND("ph",G89)+2,0)))),3)</f>
        <v>PHAOC</v>
      </c>
      <c r="I89" t="str">
        <f>H89&amp;"_"&amp;E89</f>
        <v>PHAOC_45314</v>
      </c>
    </row>
    <row r="90" spans="1:9" x14ac:dyDescent="0.3">
      <c r="A90" s="2" t="s">
        <v>56</v>
      </c>
      <c r="B90" s="2">
        <v>685</v>
      </c>
      <c r="C90" s="2" t="s">
        <v>146</v>
      </c>
      <c r="D90" s="3">
        <v>45315</v>
      </c>
      <c r="E90" s="3">
        <v>45315</v>
      </c>
      <c r="F90" s="2" t="s">
        <v>58</v>
      </c>
      <c r="G90" s="2" t="s">
        <v>123</v>
      </c>
      <c r="H90" t="str">
        <f>"PH"&amp;MID(G90,IFERROR(FIND("PH-",G90)+3,IFERROR(FIND("ph-",G90)+3,IFERROR(FIND("PH",G90)+2,IFERROR(FIND("ph",G90)+2,0)))),3)</f>
        <v>PHBHA</v>
      </c>
      <c r="I90" t="str">
        <f>H90&amp;"_"&amp;E90</f>
        <v>PHBHA_45315</v>
      </c>
    </row>
    <row r="91" spans="1:9" x14ac:dyDescent="0.3">
      <c r="A91" s="2" t="s">
        <v>56</v>
      </c>
      <c r="B91" s="2">
        <v>651</v>
      </c>
      <c r="C91" s="2" t="s">
        <v>128</v>
      </c>
      <c r="D91" s="3">
        <v>45315</v>
      </c>
      <c r="E91" s="3">
        <v>45315</v>
      </c>
      <c r="F91" s="2" t="s">
        <v>58</v>
      </c>
      <c r="G91" s="2" t="s">
        <v>145</v>
      </c>
      <c r="H91" t="str">
        <f>"PH"&amp;MID(G91,IFERROR(FIND("PH-",G91)+3,IFERROR(FIND("ph-",G91)+3,IFERROR(FIND("PH",G91)+2,IFERROR(FIND("ph",G91)+2,0)))),3)</f>
        <v>PHAOC</v>
      </c>
      <c r="I91" t="str">
        <f>H91&amp;"_"&amp;E91</f>
        <v>PHAOC_45315</v>
      </c>
    </row>
    <row r="92" spans="1:9" x14ac:dyDescent="0.3">
      <c r="A92" s="2" t="s">
        <v>56</v>
      </c>
      <c r="B92" s="2">
        <v>655</v>
      </c>
      <c r="C92" s="2" t="s">
        <v>131</v>
      </c>
      <c r="D92" s="3">
        <v>45315</v>
      </c>
      <c r="E92" s="3">
        <v>45315</v>
      </c>
      <c r="F92" s="2" t="s">
        <v>58</v>
      </c>
      <c r="G92" s="2" t="s">
        <v>90</v>
      </c>
      <c r="H92" t="str">
        <f>"PH"&amp;MID(G92,IFERROR(FIND("PH-",G92)+3,IFERROR(FIND("ph-",G92)+3,IFERROR(FIND("PH",G92)+2,IFERROR(FIND("ph",G92)+2,0)))),3)</f>
        <v>PHAOB</v>
      </c>
      <c r="I92" t="str">
        <f>H92&amp;"_"&amp;E92</f>
        <v>PHAOB_45315</v>
      </c>
    </row>
    <row r="93" spans="1:9" x14ac:dyDescent="0.3">
      <c r="A93" s="2" t="s">
        <v>56</v>
      </c>
      <c r="B93" s="2">
        <v>635</v>
      </c>
      <c r="C93" s="2" t="s">
        <v>91</v>
      </c>
      <c r="D93" s="3">
        <v>45316</v>
      </c>
      <c r="E93" s="3">
        <v>45316</v>
      </c>
      <c r="F93" s="2" t="s">
        <v>58</v>
      </c>
      <c r="G93" s="2" t="s">
        <v>92</v>
      </c>
      <c r="H93" t="str">
        <f>"PH"&amp;MID(G93,IFERROR(FIND("PH-",G93)+3,IFERROR(FIND("ph-",G93)+3,IFERROR(FIND("PH",G93)+2,IFERROR(FIND("ph",G93)+2,0)))),3)</f>
        <v>PHBHN</v>
      </c>
      <c r="I93" t="str">
        <f>H93&amp;"_"&amp;E93</f>
        <v>PHBHN_45316</v>
      </c>
    </row>
    <row r="94" spans="1:9" x14ac:dyDescent="0.3">
      <c r="A94" s="2" t="s">
        <v>56</v>
      </c>
      <c r="B94" s="2">
        <v>695</v>
      </c>
      <c r="C94" s="2" t="s">
        <v>171</v>
      </c>
      <c r="D94" s="3">
        <v>45316</v>
      </c>
      <c r="E94" s="3">
        <v>45316</v>
      </c>
      <c r="F94" s="2" t="s">
        <v>58</v>
      </c>
      <c r="G94" s="2" t="s">
        <v>244</v>
      </c>
      <c r="H94" t="str">
        <f>"PH"&amp;MID(G94,IFERROR(FIND("PH-",G94)+3,IFERROR(FIND("ph-",G94)+3,IFERROR(FIND("PH",G94)+2,IFERROR(FIND("ph",G94)+2,0)))),3)</f>
        <v>PHAOB</v>
      </c>
      <c r="I94" t="str">
        <f>H94&amp;"_"&amp;E94</f>
        <v>PHAOB_45316</v>
      </c>
    </row>
    <row r="95" spans="1:9" x14ac:dyDescent="0.3">
      <c r="A95" s="2" t="s">
        <v>56</v>
      </c>
      <c r="B95" s="2">
        <v>651</v>
      </c>
      <c r="C95" s="2" t="s">
        <v>128</v>
      </c>
      <c r="D95" s="3">
        <v>45317</v>
      </c>
      <c r="E95" s="3">
        <v>45317</v>
      </c>
      <c r="F95" s="2" t="s">
        <v>58</v>
      </c>
      <c r="G95" s="2" t="s">
        <v>233</v>
      </c>
      <c r="H95" t="str">
        <f>"PH"&amp;MID(G95,IFERROR(FIND("PH-",G95)+3,IFERROR(FIND("ph-",G95)+3,IFERROR(FIND("PH",G95)+2,IFERROR(FIND("ph",G95)+2,0)))),3)</f>
        <v>PHAOC</v>
      </c>
      <c r="I95" t="str">
        <f>H95&amp;"_"&amp;E95</f>
        <v>PHAOC_45317</v>
      </c>
    </row>
    <row r="96" spans="1:9" x14ac:dyDescent="0.3">
      <c r="A96" s="2" t="s">
        <v>56</v>
      </c>
      <c r="B96" s="2">
        <v>671</v>
      </c>
      <c r="C96" s="2" t="s">
        <v>136</v>
      </c>
      <c r="D96" s="3">
        <v>45317</v>
      </c>
      <c r="E96" s="3">
        <v>45317</v>
      </c>
      <c r="F96" s="2" t="s">
        <v>58</v>
      </c>
      <c r="G96" s="2" t="s">
        <v>90</v>
      </c>
      <c r="H96" t="str">
        <f>"PH"&amp;MID(G96,IFERROR(FIND("PH-",G96)+3,IFERROR(FIND("ph-",G96)+3,IFERROR(FIND("PH",G96)+2,IFERROR(FIND("ph",G96)+2,0)))),3)</f>
        <v>PHAOB</v>
      </c>
      <c r="I96" t="str">
        <f>H96&amp;"_"&amp;E96</f>
        <v>PHAOB_45317</v>
      </c>
    </row>
    <row r="97" spans="1:9" x14ac:dyDescent="0.3">
      <c r="A97" s="2" t="s">
        <v>56</v>
      </c>
      <c r="B97" s="2">
        <v>809</v>
      </c>
      <c r="C97" s="2" t="s">
        <v>194</v>
      </c>
      <c r="D97" s="3">
        <v>45317</v>
      </c>
      <c r="E97" s="3">
        <v>45317</v>
      </c>
      <c r="F97" s="2" t="s">
        <v>58</v>
      </c>
      <c r="G97" s="2" t="s">
        <v>275</v>
      </c>
      <c r="H97" t="str">
        <f>"PH"&amp;MID(G97,IFERROR(FIND("PH-",G97)+3,IFERROR(FIND("ph-",G97)+3,IFERROR(FIND("PH",G97)+2,IFERROR(FIND("ph",G97)+2,0)))),3)</f>
        <v>PHBHM</v>
      </c>
      <c r="I97" t="str">
        <f>H97&amp;"_"&amp;E97</f>
        <v>PHBHM_45317</v>
      </c>
    </row>
    <row r="98" spans="1:9" x14ac:dyDescent="0.3">
      <c r="A98" s="2" t="s">
        <v>56</v>
      </c>
      <c r="B98" s="2">
        <v>621</v>
      </c>
      <c r="C98" s="2" t="s">
        <v>83</v>
      </c>
      <c r="D98" s="3">
        <v>45318</v>
      </c>
      <c r="E98" s="3">
        <v>45318</v>
      </c>
      <c r="F98" s="2" t="s">
        <v>58</v>
      </c>
      <c r="G98" s="2" t="s">
        <v>118</v>
      </c>
      <c r="H98" t="str">
        <f>"PH"&amp;MID(G98,IFERROR(FIND("PH-",G98)+3,IFERROR(FIND("ph-",G98)+3,IFERROR(FIND("PH",G98)+2,IFERROR(FIND("ph",G98)+2,0)))),3)</f>
        <v>PHBKH</v>
      </c>
      <c r="I98" t="str">
        <f>H98&amp;"_"&amp;E98</f>
        <v>PHBKH_45318</v>
      </c>
    </row>
    <row r="99" spans="1:9" x14ac:dyDescent="0.3">
      <c r="A99" s="2" t="s">
        <v>56</v>
      </c>
      <c r="B99" s="2">
        <v>641</v>
      </c>
      <c r="C99" s="2" t="s">
        <v>96</v>
      </c>
      <c r="D99" s="3">
        <v>45319</v>
      </c>
      <c r="E99" s="3">
        <v>45319</v>
      </c>
      <c r="F99" s="2" t="s">
        <v>58</v>
      </c>
      <c r="G99" s="2" t="s">
        <v>124</v>
      </c>
      <c r="H99" t="str">
        <f>"PH"&amp;MID(G99,IFERROR(FIND("PH-",G99)+3,IFERROR(FIND("ph-",G99)+3,IFERROR(FIND("PH",G99)+2,IFERROR(FIND("ph",G99)+2,0)))),3)</f>
        <v>PHBHM</v>
      </c>
      <c r="I99" t="str">
        <f>H99&amp;"_"&amp;E99</f>
        <v>PHBHM_45319</v>
      </c>
    </row>
    <row r="100" spans="1:9" x14ac:dyDescent="0.3">
      <c r="A100" s="2" t="s">
        <v>56</v>
      </c>
      <c r="B100" s="2">
        <v>651</v>
      </c>
      <c r="C100" s="2" t="s">
        <v>128</v>
      </c>
      <c r="D100" s="3">
        <v>45319</v>
      </c>
      <c r="E100" s="3">
        <v>45319</v>
      </c>
      <c r="F100" s="2" t="s">
        <v>58</v>
      </c>
      <c r="G100" s="2" t="s">
        <v>129</v>
      </c>
      <c r="H100" t="str">
        <f>"PH"&amp;MID(G100,IFERROR(FIND("PH-",G100)+3,IFERROR(FIND("ph-",G100)+3,IFERROR(FIND("PH",G100)+2,IFERROR(FIND("ph",G100)+2,0)))),3)</f>
        <v>PHAOB</v>
      </c>
      <c r="I100" t="str">
        <f>H100&amp;"_"&amp;E100</f>
        <v>PHAOB_45319</v>
      </c>
    </row>
    <row r="101" spans="1:9" x14ac:dyDescent="0.3">
      <c r="A101" s="2" t="s">
        <v>56</v>
      </c>
      <c r="B101" s="2">
        <v>643</v>
      </c>
      <c r="C101" s="2" t="s">
        <v>98</v>
      </c>
      <c r="D101" s="3">
        <v>45319</v>
      </c>
      <c r="E101" s="3">
        <v>45319</v>
      </c>
      <c r="F101" s="2" t="s">
        <v>58</v>
      </c>
      <c r="G101" s="2" t="s">
        <v>118</v>
      </c>
      <c r="H101" t="str">
        <f>"PH"&amp;MID(G101,IFERROR(FIND("PH-",G101)+3,IFERROR(FIND("ph-",G101)+3,IFERROR(FIND("PH",G101)+2,IFERROR(FIND("ph",G101)+2,0)))),3)</f>
        <v>PHBKH</v>
      </c>
      <c r="I101" t="str">
        <f>H101&amp;"_"&amp;E101</f>
        <v>PHBKH_45319</v>
      </c>
    </row>
    <row r="102" spans="1:9" x14ac:dyDescent="0.3">
      <c r="A102" s="2" t="s">
        <v>56</v>
      </c>
      <c r="B102" s="2">
        <v>621</v>
      </c>
      <c r="C102" s="2" t="s">
        <v>83</v>
      </c>
      <c r="D102" s="3">
        <v>45320</v>
      </c>
      <c r="E102" s="3">
        <v>45320</v>
      </c>
      <c r="F102" s="2" t="s">
        <v>58</v>
      </c>
      <c r="G102" s="2" t="s">
        <v>118</v>
      </c>
      <c r="H102" t="str">
        <f>"PH"&amp;MID(G102,IFERROR(FIND("PH-",G102)+3,IFERROR(FIND("ph-",G102)+3,IFERROR(FIND("PH",G102)+2,IFERROR(FIND("ph",G102)+2,0)))),3)</f>
        <v>PHBKH</v>
      </c>
      <c r="I102" t="str">
        <f>H102&amp;"_"&amp;E102</f>
        <v>PHBKH_45320</v>
      </c>
    </row>
    <row r="103" spans="1:9" x14ac:dyDescent="0.3">
      <c r="A103" s="2" t="s">
        <v>56</v>
      </c>
      <c r="B103" s="2">
        <v>677</v>
      </c>
      <c r="C103" s="2" t="s">
        <v>140</v>
      </c>
      <c r="D103" s="3">
        <v>45320</v>
      </c>
      <c r="E103" s="3">
        <v>45320</v>
      </c>
      <c r="F103" s="2" t="s">
        <v>58</v>
      </c>
      <c r="G103" s="2" t="s">
        <v>142</v>
      </c>
      <c r="H103" t="str">
        <f>"PH"&amp;MID(G103,IFERROR(FIND("PH-",G103)+3,IFERROR(FIND("ph-",G103)+3,IFERROR(FIND("PH",G103)+2,IFERROR(FIND("ph",G103)+2,0)))),3)</f>
        <v>PHBHM</v>
      </c>
      <c r="I103" t="str">
        <f>H103&amp;"_"&amp;E103</f>
        <v>PHBHM_45320</v>
      </c>
    </row>
    <row r="104" spans="1:9" x14ac:dyDescent="0.3">
      <c r="A104" s="2" t="s">
        <v>56</v>
      </c>
      <c r="B104" s="2">
        <v>705</v>
      </c>
      <c r="C104" s="2" t="s">
        <v>177</v>
      </c>
      <c r="D104" s="3">
        <v>45320</v>
      </c>
      <c r="E104" s="3">
        <v>45320</v>
      </c>
      <c r="F104" s="2" t="s">
        <v>58</v>
      </c>
      <c r="G104" s="2" t="s">
        <v>142</v>
      </c>
      <c r="H104" t="str">
        <f>"PH"&amp;MID(G104,IFERROR(FIND("PH-",G104)+3,IFERROR(FIND("ph-",G104)+3,IFERROR(FIND("PH",G104)+2,IFERROR(FIND("ph",G104)+2,0)))),3)</f>
        <v>PHBHM</v>
      </c>
      <c r="I104" t="str">
        <f>H104&amp;"_"&amp;E104</f>
        <v>PHBHM_45320</v>
      </c>
    </row>
    <row r="105" spans="1:9" x14ac:dyDescent="0.3">
      <c r="A105" s="2" t="s">
        <v>56</v>
      </c>
      <c r="B105" s="2">
        <v>685</v>
      </c>
      <c r="C105" s="2" t="s">
        <v>146</v>
      </c>
      <c r="D105" s="3">
        <v>45321</v>
      </c>
      <c r="E105" s="3">
        <v>45321</v>
      </c>
      <c r="F105" s="2" t="s">
        <v>58</v>
      </c>
      <c r="G105" s="2" t="s">
        <v>142</v>
      </c>
      <c r="H105" t="str">
        <f>"PH"&amp;MID(G105,IFERROR(FIND("PH-",G105)+3,IFERROR(FIND("ph-",G105)+3,IFERROR(FIND("PH",G105)+2,IFERROR(FIND("ph",G105)+2,0)))),3)</f>
        <v>PHBHM</v>
      </c>
      <c r="I105" t="str">
        <f>H105&amp;"_"&amp;E105</f>
        <v>PHBHM_45321</v>
      </c>
    </row>
    <row r="106" spans="1:9" x14ac:dyDescent="0.3">
      <c r="A106" s="2" t="s">
        <v>56</v>
      </c>
      <c r="B106" s="2">
        <v>691</v>
      </c>
      <c r="C106" s="2" t="s">
        <v>150</v>
      </c>
      <c r="D106" s="3">
        <v>45321</v>
      </c>
      <c r="E106" s="3">
        <v>45321</v>
      </c>
      <c r="F106" s="2" t="s">
        <v>58</v>
      </c>
      <c r="G106" s="2" t="s">
        <v>223</v>
      </c>
      <c r="H106" t="str">
        <f>"PH"&amp;MID(G106,IFERROR(FIND("PH-",G106)+3,IFERROR(FIND("ph-",G106)+3,IFERROR(FIND("PH",G106)+2,IFERROR(FIND("ph",G106)+2,0)))),3)</f>
        <v>PHBKH</v>
      </c>
      <c r="I106" t="str">
        <f>H106&amp;"_"&amp;E106</f>
        <v>PHBKH_45321</v>
      </c>
    </row>
    <row r="107" spans="1:9" x14ac:dyDescent="0.3">
      <c r="A107" s="2" t="s">
        <v>56</v>
      </c>
      <c r="B107" s="2">
        <v>643</v>
      </c>
      <c r="C107" s="2" t="s">
        <v>98</v>
      </c>
      <c r="D107" s="3">
        <v>45322</v>
      </c>
      <c r="E107" s="3">
        <v>45322</v>
      </c>
      <c r="F107" s="2" t="s">
        <v>58</v>
      </c>
      <c r="G107" s="2" t="s">
        <v>99</v>
      </c>
      <c r="H107" t="str">
        <f>"PH"&amp;MID(G107,IFERROR(FIND("PH-",G107)+3,IFERROR(FIND("ph-",G107)+3,IFERROR(FIND("PH",G107)+2,IFERROR(FIND("ph",G107)+2,0)))),3)</f>
        <v>PHBKH</v>
      </c>
      <c r="I107" t="str">
        <f>H107&amp;"_"&amp;E107</f>
        <v>PHBKH_45322</v>
      </c>
    </row>
    <row r="108" spans="1:9" x14ac:dyDescent="0.3">
      <c r="A108" s="2" t="s">
        <v>56</v>
      </c>
      <c r="B108" s="2">
        <v>871</v>
      </c>
      <c r="C108" s="2" t="s">
        <v>203</v>
      </c>
      <c r="D108" s="3">
        <v>45322</v>
      </c>
      <c r="E108" s="3">
        <v>45322</v>
      </c>
      <c r="F108" s="2" t="s">
        <v>58</v>
      </c>
      <c r="G108" s="2" t="s">
        <v>204</v>
      </c>
      <c r="H108" t="str">
        <f>"PH"&amp;MID(G108,IFERROR(FIND("PH-",G108)+3,IFERROR(FIND("ph-",G108)+3,IFERROR(FIND("PH",G108)+2,IFERROR(FIND("ph",G108)+2,0)))),3)</f>
        <v>PHBVO</v>
      </c>
      <c r="I108" t="str">
        <f>H108&amp;"_"&amp;E108</f>
        <v>PHBVO_45322</v>
      </c>
    </row>
    <row r="109" spans="1:9" x14ac:dyDescent="0.3">
      <c r="A109" s="2" t="s">
        <v>56</v>
      </c>
      <c r="B109" s="2">
        <v>617</v>
      </c>
      <c r="C109" s="2" t="s">
        <v>82</v>
      </c>
      <c r="D109" s="3">
        <v>45322</v>
      </c>
      <c r="E109" s="3">
        <v>45322</v>
      </c>
      <c r="F109" s="2" t="s">
        <v>58</v>
      </c>
      <c r="G109" s="2" t="s">
        <v>230</v>
      </c>
      <c r="H109" t="str">
        <f>"PH"&amp;MID(G109,IFERROR(FIND("PH-",G109)+3,IFERROR(FIND("ph-",G109)+3,IFERROR(FIND("PH",G109)+2,IFERROR(FIND("ph",G109)+2,0)))),3)</f>
        <v>PHBHM</v>
      </c>
      <c r="I109" t="str">
        <f>H109&amp;"_"&amp;E109</f>
        <v>PHBHM_45322</v>
      </c>
    </row>
    <row r="110" spans="1:9" x14ac:dyDescent="0.3">
      <c r="A110" s="2" t="s">
        <v>56</v>
      </c>
      <c r="B110" s="2">
        <v>741</v>
      </c>
      <c r="C110" s="2" t="s">
        <v>184</v>
      </c>
      <c r="D110" s="3">
        <v>45322</v>
      </c>
      <c r="E110" s="3">
        <v>45322</v>
      </c>
      <c r="F110" s="2" t="s">
        <v>58</v>
      </c>
      <c r="G110" s="2" t="s">
        <v>152</v>
      </c>
      <c r="H110" t="str">
        <f>"PH"&amp;MID(G110,IFERROR(FIND("PH-",G110)+3,IFERROR(FIND("ph-",G110)+3,IFERROR(FIND("PH",G110)+2,IFERROR(FIND("ph",G110)+2,0)))),3)</f>
        <v>PHBKK</v>
      </c>
      <c r="I110" t="str">
        <f>H110&amp;"_"&amp;E110</f>
        <v>PHBKK_45322</v>
      </c>
    </row>
    <row r="111" spans="1:9" x14ac:dyDescent="0.3">
      <c r="A111" s="2" t="s">
        <v>56</v>
      </c>
      <c r="B111" s="2">
        <v>691</v>
      </c>
      <c r="C111" s="2" t="s">
        <v>150</v>
      </c>
      <c r="D111" s="3">
        <v>45323</v>
      </c>
      <c r="E111" s="3">
        <v>45323</v>
      </c>
      <c r="F111" s="2" t="s">
        <v>58</v>
      </c>
      <c r="G111" s="2" t="s">
        <v>152</v>
      </c>
      <c r="H111" t="str">
        <f>"PH"&amp;MID(G111,IFERROR(FIND("PH-",G111)+3,IFERROR(FIND("ph-",G111)+3,IFERROR(FIND("PH",G111)+2,IFERROR(FIND("ph",G111)+2,0)))),3)</f>
        <v>PHBKK</v>
      </c>
      <c r="I111" t="str">
        <f>H111&amp;"_"&amp;E111</f>
        <v>PHBKK_45323</v>
      </c>
    </row>
    <row r="112" spans="1:9" x14ac:dyDescent="0.3">
      <c r="A112" s="2" t="s">
        <v>56</v>
      </c>
      <c r="B112" s="2">
        <v>641</v>
      </c>
      <c r="C112" s="2" t="s">
        <v>96</v>
      </c>
      <c r="D112" s="3">
        <v>45323</v>
      </c>
      <c r="E112" s="3">
        <v>45323</v>
      </c>
      <c r="F112" s="2" t="s">
        <v>58</v>
      </c>
      <c r="G112" s="2" t="s">
        <v>223</v>
      </c>
      <c r="H112" t="str">
        <f>"PH"&amp;MID(G112,IFERROR(FIND("PH-",G112)+3,IFERROR(FIND("ph-",G112)+3,IFERROR(FIND("PH",G112)+2,IFERROR(FIND("ph",G112)+2,0)))),3)</f>
        <v>PHBKH</v>
      </c>
      <c r="I112" t="str">
        <f>H112&amp;"_"&amp;E112</f>
        <v>PHBKH_45323</v>
      </c>
    </row>
    <row r="113" spans="1:9" x14ac:dyDescent="0.3">
      <c r="A113" s="2" t="s">
        <v>56</v>
      </c>
      <c r="B113" s="2">
        <v>667</v>
      </c>
      <c r="C113" s="2" t="s">
        <v>135</v>
      </c>
      <c r="D113" s="3">
        <v>45323</v>
      </c>
      <c r="E113" s="3">
        <v>45323</v>
      </c>
      <c r="F113" s="2" t="s">
        <v>58</v>
      </c>
      <c r="G113" s="2" t="s">
        <v>93</v>
      </c>
      <c r="H113" t="str">
        <f>"PH"&amp;MID(G113,IFERROR(FIND("PH-",G113)+3,IFERROR(FIND("ph-",G113)+3,IFERROR(FIND("PH",G113)+2,IFERROR(FIND("ph",G113)+2,0)))),3)</f>
        <v>PHBHM</v>
      </c>
      <c r="I113" t="str">
        <f>H113&amp;"_"&amp;E113</f>
        <v>PHBHM_45323</v>
      </c>
    </row>
    <row r="114" spans="1:9" x14ac:dyDescent="0.3">
      <c r="A114" s="2" t="s">
        <v>56</v>
      </c>
      <c r="B114" s="2">
        <v>641</v>
      </c>
      <c r="C114" s="2" t="s">
        <v>96</v>
      </c>
      <c r="D114" s="3">
        <v>45324</v>
      </c>
      <c r="E114" s="3">
        <v>45324</v>
      </c>
      <c r="F114" s="2" t="s">
        <v>58</v>
      </c>
      <c r="G114" s="2" t="s">
        <v>125</v>
      </c>
      <c r="H114" t="str">
        <f>"PH"&amp;MID(G114,IFERROR(FIND("PH-",G114)+3,IFERROR(FIND("ph-",G114)+3,IFERROR(FIND("PH",G114)+2,IFERROR(FIND("ph",G114)+2,0)))),3)</f>
        <v>PHBKI</v>
      </c>
      <c r="I114" t="str">
        <f>H114&amp;"_"&amp;E114</f>
        <v>PHBKI_45324</v>
      </c>
    </row>
    <row r="115" spans="1:9" x14ac:dyDescent="0.3">
      <c r="A115" s="2" t="s">
        <v>56</v>
      </c>
      <c r="B115" s="2">
        <v>809</v>
      </c>
      <c r="C115" s="2" t="s">
        <v>194</v>
      </c>
      <c r="D115" s="3">
        <v>45324</v>
      </c>
      <c r="E115" s="3">
        <v>45324</v>
      </c>
      <c r="F115" s="2" t="s">
        <v>58</v>
      </c>
      <c r="G115" s="2" t="s">
        <v>196</v>
      </c>
      <c r="H115" t="str">
        <f>"PH"&amp;MID(G115,IFERROR(FIND("PH-",G115)+3,IFERROR(FIND("ph-",G115)+3,IFERROR(FIND("PH",G115)+2,IFERROR(FIND("ph",G115)+2,0)))),3)</f>
        <v>PHBHA</v>
      </c>
      <c r="I115" t="str">
        <f>H115&amp;"_"&amp;E115</f>
        <v>PHBHA_45324</v>
      </c>
    </row>
    <row r="116" spans="1:9" x14ac:dyDescent="0.3">
      <c r="A116" s="2" t="s">
        <v>56</v>
      </c>
      <c r="B116" s="2">
        <v>879</v>
      </c>
      <c r="C116" s="2" t="s">
        <v>208</v>
      </c>
      <c r="D116" s="3">
        <v>45324</v>
      </c>
      <c r="E116" s="3">
        <v>45324</v>
      </c>
      <c r="F116" s="2" t="s">
        <v>58</v>
      </c>
      <c r="G116" s="2" t="s">
        <v>209</v>
      </c>
      <c r="H116" t="str">
        <f>"PH"&amp;MID(G116,IFERROR(FIND("PH-",G116)+3,IFERROR(FIND("ph-",G116)+3,IFERROR(FIND("PH",G116)+2,IFERROR(FIND("ph",G116)+2,0)))),3)</f>
        <v>PHBKH</v>
      </c>
      <c r="I116" t="str">
        <f>H116&amp;"_"&amp;E116</f>
        <v>PHBKH_45324</v>
      </c>
    </row>
    <row r="117" spans="1:9" x14ac:dyDescent="0.3">
      <c r="A117" s="2" t="s">
        <v>56</v>
      </c>
      <c r="B117" s="2">
        <v>601</v>
      </c>
      <c r="C117" s="2" t="s">
        <v>80</v>
      </c>
      <c r="D117" s="3">
        <v>45324</v>
      </c>
      <c r="E117" s="3">
        <v>45324</v>
      </c>
      <c r="F117" s="2" t="s">
        <v>58</v>
      </c>
      <c r="G117" s="2" t="s">
        <v>228</v>
      </c>
      <c r="H117" t="str">
        <f>"PH"&amp;MID(G117,IFERROR(FIND("PH-",G117)+3,IFERROR(FIND("ph-",G117)+3,IFERROR(FIND("PH",G117)+2,IFERROR(FIND("ph",G117)+2,0)))),3)</f>
        <v>PHBKK</v>
      </c>
      <c r="I117" t="str">
        <f>H117&amp;"_"&amp;E117</f>
        <v>PHBKK_45324</v>
      </c>
    </row>
    <row r="118" spans="1:9" x14ac:dyDescent="0.3">
      <c r="A118" s="2" t="s">
        <v>56</v>
      </c>
      <c r="B118" s="2">
        <v>701</v>
      </c>
      <c r="C118" s="2" t="s">
        <v>173</v>
      </c>
      <c r="D118" s="3">
        <v>45324</v>
      </c>
      <c r="E118" s="3">
        <v>45324</v>
      </c>
      <c r="F118" s="2" t="s">
        <v>58</v>
      </c>
      <c r="G118" s="2" t="s">
        <v>93</v>
      </c>
      <c r="H118" t="str">
        <f>"PH"&amp;MID(G118,IFERROR(FIND("PH-",G118)+3,IFERROR(FIND("ph-",G118)+3,IFERROR(FIND("PH",G118)+2,IFERROR(FIND("ph",G118)+2,0)))),3)</f>
        <v>PHBHM</v>
      </c>
      <c r="I118" t="str">
        <f>H118&amp;"_"&amp;E118</f>
        <v>PHBHM_45324</v>
      </c>
    </row>
    <row r="119" spans="1:9" x14ac:dyDescent="0.3">
      <c r="A119" s="2" t="s">
        <v>56</v>
      </c>
      <c r="B119" s="2">
        <v>605</v>
      </c>
      <c r="C119" s="2" t="s">
        <v>81</v>
      </c>
      <c r="D119" s="3">
        <v>45325</v>
      </c>
      <c r="E119" s="3">
        <v>45325</v>
      </c>
      <c r="F119" s="2" t="s">
        <v>58</v>
      </c>
      <c r="G119" s="2" t="s">
        <v>113</v>
      </c>
      <c r="H119" t="str">
        <f>"PH"&amp;MID(G119,IFERROR(FIND("PH-",G119)+3,IFERROR(FIND("ph-",G119)+3,IFERROR(FIND("PH",G119)+2,IFERROR(FIND("ph",G119)+2,0)))),3)</f>
        <v>PHBKH</v>
      </c>
      <c r="I119" t="str">
        <f>H119&amp;"_"&amp;E119</f>
        <v>PHBKH_45325</v>
      </c>
    </row>
    <row r="120" spans="1:9" x14ac:dyDescent="0.3">
      <c r="A120" s="2" t="s">
        <v>56</v>
      </c>
      <c r="B120" s="2">
        <v>735</v>
      </c>
      <c r="C120" s="2" t="s">
        <v>182</v>
      </c>
      <c r="D120" s="3">
        <v>45325</v>
      </c>
      <c r="E120" s="3">
        <v>45325</v>
      </c>
      <c r="F120" s="2" t="s">
        <v>58</v>
      </c>
      <c r="G120" s="2" t="s">
        <v>254</v>
      </c>
      <c r="H120" t="str">
        <f>"PH"&amp;MID(G120,IFERROR(FIND("PH-",G120)+3,IFERROR(FIND("ph-",G120)+3,IFERROR(FIND("PH",G120)+2,IFERROR(FIND("ph",G120)+2,0)))),3)</f>
        <v>PHBVO</v>
      </c>
      <c r="I120" t="str">
        <f>H120&amp;"_"&amp;E120</f>
        <v>PHBVO_45325</v>
      </c>
    </row>
    <row r="121" spans="1:9" x14ac:dyDescent="0.3">
      <c r="A121" s="2" t="s">
        <v>56</v>
      </c>
      <c r="B121" s="2">
        <v>757</v>
      </c>
      <c r="C121" s="2" t="s">
        <v>189</v>
      </c>
      <c r="D121" s="3">
        <v>45325</v>
      </c>
      <c r="E121" s="3">
        <v>45325</v>
      </c>
      <c r="F121" s="2" t="s">
        <v>58</v>
      </c>
      <c r="G121" s="2" t="s">
        <v>272</v>
      </c>
      <c r="H121" t="str">
        <f>"PH"&amp;MID(G121,IFERROR(FIND("PH-",G121)+3,IFERROR(FIND("ph-",G121)+3,IFERROR(FIND("PH",G121)+2,IFERROR(FIND("ph",G121)+2,0)))),3)</f>
        <v>PHBKK</v>
      </c>
      <c r="I121" t="str">
        <f>H121&amp;"_"&amp;E121</f>
        <v>PHBKK_45325</v>
      </c>
    </row>
    <row r="122" spans="1:9" x14ac:dyDescent="0.3">
      <c r="A122" s="2" t="s">
        <v>56</v>
      </c>
      <c r="B122" s="2">
        <v>749</v>
      </c>
      <c r="C122" s="2" t="s">
        <v>258</v>
      </c>
      <c r="D122" s="3">
        <v>45325</v>
      </c>
      <c r="E122" s="3">
        <v>45325</v>
      </c>
      <c r="F122" s="2" t="s">
        <v>58</v>
      </c>
      <c r="G122" s="2" t="s">
        <v>125</v>
      </c>
      <c r="H122" t="str">
        <f>"PH"&amp;MID(G122,IFERROR(FIND("PH-",G122)+3,IFERROR(FIND("ph-",G122)+3,IFERROR(FIND("PH",G122)+2,IFERROR(FIND("ph",G122)+2,0)))),3)</f>
        <v>PHBKI</v>
      </c>
      <c r="I122" t="str">
        <f>H122&amp;"_"&amp;E122</f>
        <v>PHBKI_45325</v>
      </c>
    </row>
    <row r="123" spans="1:9" x14ac:dyDescent="0.3">
      <c r="A123" s="2" t="s">
        <v>56</v>
      </c>
      <c r="B123" s="2">
        <v>871</v>
      </c>
      <c r="C123" s="2" t="s">
        <v>203</v>
      </c>
      <c r="D123" s="3">
        <v>45325</v>
      </c>
      <c r="E123" s="3">
        <v>45325</v>
      </c>
      <c r="F123" s="2" t="s">
        <v>58</v>
      </c>
      <c r="G123" s="2" t="s">
        <v>282</v>
      </c>
      <c r="H123" t="str">
        <f>"PH"&amp;MID(G123,IFERROR(FIND("PH-",G123)+3,IFERROR(FIND("ph-",G123)+3,IFERROR(FIND("PH",G123)+2,IFERROR(FIND("ph",G123)+2,0)))),3)</f>
        <v>PHBVI</v>
      </c>
      <c r="I123" t="str">
        <f>H123&amp;"_"&amp;E123</f>
        <v>PHBVI_45325</v>
      </c>
    </row>
    <row r="124" spans="1:9" x14ac:dyDescent="0.3">
      <c r="A124" s="2" t="s">
        <v>56</v>
      </c>
      <c r="B124" s="2">
        <v>565</v>
      </c>
      <c r="C124" s="2" t="s">
        <v>66</v>
      </c>
      <c r="D124" s="3">
        <v>45326</v>
      </c>
      <c r="E124" s="3">
        <v>45326</v>
      </c>
      <c r="F124" s="2" t="s">
        <v>58</v>
      </c>
      <c r="G124" s="2" t="s">
        <v>68</v>
      </c>
      <c r="H124" t="str">
        <f>"PH"&amp;MID(G124,IFERROR(FIND("PH-",G124)+3,IFERROR(FIND("ph-",G124)+3,IFERROR(FIND("PH",G124)+2,IFERROR(FIND("ph",G124)+2,0)))),3)</f>
        <v>PHBVO</v>
      </c>
      <c r="I124" t="str">
        <f>H124&amp;"_"&amp;E124</f>
        <v>PHBVO_45326</v>
      </c>
    </row>
    <row r="125" spans="1:9" x14ac:dyDescent="0.3">
      <c r="A125" s="2" t="s">
        <v>56</v>
      </c>
      <c r="B125" s="2">
        <v>611</v>
      </c>
      <c r="C125" s="2" t="s">
        <v>116</v>
      </c>
      <c r="D125" s="3">
        <v>45326</v>
      </c>
      <c r="E125" s="3">
        <v>45326</v>
      </c>
      <c r="F125" s="2" t="s">
        <v>58</v>
      </c>
      <c r="G125" s="2" t="s">
        <v>125</v>
      </c>
      <c r="H125" t="str">
        <f>"PH"&amp;MID(G125,IFERROR(FIND("PH-",G125)+3,IFERROR(FIND("ph-",G125)+3,IFERROR(FIND("PH",G125)+2,IFERROR(FIND("ph",G125)+2,0)))),3)</f>
        <v>PHBKI</v>
      </c>
      <c r="I125" t="str">
        <f>H125&amp;"_"&amp;E125</f>
        <v>PHBKI_45326</v>
      </c>
    </row>
    <row r="126" spans="1:9" x14ac:dyDescent="0.3">
      <c r="A126" s="2" t="s">
        <v>56</v>
      </c>
      <c r="B126" s="2">
        <v>661</v>
      </c>
      <c r="C126" s="2" t="s">
        <v>134</v>
      </c>
      <c r="D126" s="3">
        <v>45326</v>
      </c>
      <c r="E126" s="3">
        <v>45326</v>
      </c>
      <c r="F126" s="2" t="s">
        <v>58</v>
      </c>
      <c r="G126" s="2" t="s">
        <v>123</v>
      </c>
      <c r="H126" t="str">
        <f>"PH"&amp;MID(G126,IFERROR(FIND("PH-",G126)+3,IFERROR(FIND("ph-",G126)+3,IFERROR(FIND("PH",G126)+2,IFERROR(FIND("ph",G126)+2,0)))),3)</f>
        <v>PHBHA</v>
      </c>
      <c r="I126" t="str">
        <f>H126&amp;"_"&amp;E126</f>
        <v>PHBHA_45326</v>
      </c>
    </row>
    <row r="127" spans="1:9" x14ac:dyDescent="0.3">
      <c r="A127" s="2" t="s">
        <v>56</v>
      </c>
      <c r="B127" s="2">
        <v>757</v>
      </c>
      <c r="C127" s="2" t="s">
        <v>189</v>
      </c>
      <c r="D127" s="3">
        <v>45326</v>
      </c>
      <c r="E127" s="3">
        <v>45326</v>
      </c>
      <c r="F127" s="2" t="s">
        <v>58</v>
      </c>
      <c r="G127" s="2" t="s">
        <v>114</v>
      </c>
      <c r="H127" t="str">
        <f>"PH"&amp;MID(G127,IFERROR(FIND("PH-",G127)+3,IFERROR(FIND("ph-",G127)+3,IFERROR(FIND("PH",G127)+2,IFERROR(FIND("ph",G127)+2,0)))),3)</f>
        <v>PHBKH</v>
      </c>
      <c r="I127" t="str">
        <f>H127&amp;"_"&amp;E127</f>
        <v>PHBKH_45326</v>
      </c>
    </row>
    <row r="128" spans="1:9" x14ac:dyDescent="0.3">
      <c r="A128" s="2" t="s">
        <v>56</v>
      </c>
      <c r="B128" s="2">
        <v>897</v>
      </c>
      <c r="C128" s="2" t="s">
        <v>214</v>
      </c>
      <c r="D128" s="3">
        <v>45326</v>
      </c>
      <c r="E128" s="3">
        <v>45326</v>
      </c>
      <c r="F128" s="2" t="s">
        <v>58</v>
      </c>
      <c r="G128" s="2" t="s">
        <v>290</v>
      </c>
      <c r="H128" t="str">
        <f>"PH"&amp;MID(G128,IFERROR(FIND("PH-",G128)+3,IFERROR(FIND("ph-",G128)+3,IFERROR(FIND("PH",G128)+2,IFERROR(FIND("ph",G128)+2,0)))),3)</f>
        <v>PHBHM</v>
      </c>
      <c r="I128" t="str">
        <f>H128&amp;"_"&amp;E128</f>
        <v>PHBHM_45326</v>
      </c>
    </row>
    <row r="129" spans="1:9" x14ac:dyDescent="0.3">
      <c r="A129" s="2" t="s">
        <v>56</v>
      </c>
      <c r="B129" s="2">
        <v>591</v>
      </c>
      <c r="C129" s="2" t="s">
        <v>76</v>
      </c>
      <c r="D129" s="3">
        <v>45327</v>
      </c>
      <c r="E129" s="3">
        <v>45327</v>
      </c>
      <c r="F129" s="2" t="s">
        <v>58</v>
      </c>
      <c r="G129" s="2" t="s">
        <v>68</v>
      </c>
      <c r="H129" t="str">
        <f>"PH"&amp;MID(G129,IFERROR(FIND("PH-",G129)+3,IFERROR(FIND("ph-",G129)+3,IFERROR(FIND("PH",G129)+2,IFERROR(FIND("ph",G129)+2,0)))),3)</f>
        <v>PHBVO</v>
      </c>
      <c r="I129" t="str">
        <f>H129&amp;"_"&amp;E129</f>
        <v>PHBVO_45327</v>
      </c>
    </row>
    <row r="130" spans="1:9" x14ac:dyDescent="0.3">
      <c r="A130" s="2" t="s">
        <v>56</v>
      </c>
      <c r="B130" s="2">
        <v>643</v>
      </c>
      <c r="C130" s="2" t="s">
        <v>98</v>
      </c>
      <c r="D130" s="3">
        <v>45327</v>
      </c>
      <c r="E130" s="3">
        <v>45327</v>
      </c>
      <c r="F130" s="2" t="s">
        <v>58</v>
      </c>
      <c r="G130" s="2" t="s">
        <v>93</v>
      </c>
      <c r="H130" t="str">
        <f>"PH"&amp;MID(G130,IFERROR(FIND("PH-",G130)+3,IFERROR(FIND("ph-",G130)+3,IFERROR(FIND("PH",G130)+2,IFERROR(FIND("ph",G130)+2,0)))),3)</f>
        <v>PHBHM</v>
      </c>
      <c r="I130" t="str">
        <f>H130&amp;"_"&amp;E130</f>
        <v>PHBHM_45327</v>
      </c>
    </row>
    <row r="131" spans="1:9" x14ac:dyDescent="0.3">
      <c r="A131" s="2" t="s">
        <v>56</v>
      </c>
      <c r="B131" s="2">
        <v>569</v>
      </c>
      <c r="C131" s="2" t="s">
        <v>106</v>
      </c>
      <c r="D131" s="3">
        <v>45327</v>
      </c>
      <c r="E131" s="3">
        <v>45327</v>
      </c>
      <c r="F131" s="2" t="s">
        <v>58</v>
      </c>
      <c r="G131" s="2" t="s">
        <v>107</v>
      </c>
      <c r="H131" t="str">
        <f>"PH"&amp;MID(G131,IFERROR(FIND("PH-",G131)+3,IFERROR(FIND("ph-",G131)+3,IFERROR(FIND("PH",G131)+2,IFERROR(FIND("ph",G131)+2,0)))),3)</f>
        <v>PHBKK</v>
      </c>
      <c r="I131" t="str">
        <f>H131&amp;"_"&amp;E131</f>
        <v>PHBKK_45327</v>
      </c>
    </row>
    <row r="132" spans="1:9" x14ac:dyDescent="0.3">
      <c r="A132" s="2" t="s">
        <v>56</v>
      </c>
      <c r="B132" s="2">
        <v>611</v>
      </c>
      <c r="C132" s="2" t="s">
        <v>116</v>
      </c>
      <c r="D132" s="3">
        <v>45327</v>
      </c>
      <c r="E132" s="3">
        <v>45327</v>
      </c>
      <c r="F132" s="2" t="s">
        <v>58</v>
      </c>
      <c r="G132" s="2" t="s">
        <v>114</v>
      </c>
      <c r="H132" t="str">
        <f>"PH"&amp;MID(G132,IFERROR(FIND("PH-",G132)+3,IFERROR(FIND("ph-",G132)+3,IFERROR(FIND("PH",G132)+2,IFERROR(FIND("ph",G132)+2,0)))),3)</f>
        <v>PHBKH</v>
      </c>
      <c r="I132" t="str">
        <f>H132&amp;"_"&amp;E132</f>
        <v>PHBKH_45327</v>
      </c>
    </row>
    <row r="133" spans="1:9" x14ac:dyDescent="0.3">
      <c r="A133" s="2" t="s">
        <v>56</v>
      </c>
      <c r="B133" s="2">
        <v>601</v>
      </c>
      <c r="C133" s="2" t="s">
        <v>80</v>
      </c>
      <c r="D133" s="3">
        <v>45327</v>
      </c>
      <c r="E133" s="3">
        <v>45327</v>
      </c>
      <c r="F133" s="2" t="s">
        <v>58</v>
      </c>
      <c r="G133" s="2" t="s">
        <v>229</v>
      </c>
      <c r="H133" t="str">
        <f>"PH"&amp;MID(G133,IFERROR(FIND("PH-",G133)+3,IFERROR(FIND("ph-",G133)+3,IFERROR(FIND("PH",G133)+2,IFERROR(FIND("ph",G133)+2,0)))),3)</f>
        <v>PHBKK</v>
      </c>
      <c r="I133" t="str">
        <f>H133&amp;"_"&amp;E133</f>
        <v>PHBKK_45327</v>
      </c>
    </row>
    <row r="134" spans="1:9" x14ac:dyDescent="0.3">
      <c r="A134" s="2" t="s">
        <v>56</v>
      </c>
      <c r="B134" s="2">
        <v>661</v>
      </c>
      <c r="C134" s="2" t="s">
        <v>134</v>
      </c>
      <c r="D134" s="3">
        <v>45327</v>
      </c>
      <c r="E134" s="3">
        <v>45327</v>
      </c>
      <c r="F134" s="2" t="s">
        <v>58</v>
      </c>
      <c r="G134" s="2" t="s">
        <v>123</v>
      </c>
      <c r="H134" t="str">
        <f>"PH"&amp;MID(G134,IFERROR(FIND("PH-",G134)+3,IFERROR(FIND("ph-",G134)+3,IFERROR(FIND("PH",G134)+2,IFERROR(FIND("ph",G134)+2,0)))),3)</f>
        <v>PHBHA</v>
      </c>
      <c r="I134" t="str">
        <f>H134&amp;"_"&amp;E134</f>
        <v>PHBHA_45327</v>
      </c>
    </row>
    <row r="135" spans="1:9" x14ac:dyDescent="0.3">
      <c r="A135" s="2" t="s">
        <v>56</v>
      </c>
      <c r="B135" s="2">
        <v>667</v>
      </c>
      <c r="C135" s="2" t="s">
        <v>135</v>
      </c>
      <c r="D135" s="3">
        <v>45327</v>
      </c>
      <c r="E135" s="3">
        <v>45327</v>
      </c>
      <c r="F135" s="2" t="s">
        <v>58</v>
      </c>
      <c r="G135" s="2" t="s">
        <v>114</v>
      </c>
      <c r="H135" t="str">
        <f>"PH"&amp;MID(G135,IFERROR(FIND("PH-",G135)+3,IFERROR(FIND("ph-",G135)+3,IFERROR(FIND("PH",G135)+2,IFERROR(FIND("ph",G135)+2,0)))),3)</f>
        <v>PHBKH</v>
      </c>
      <c r="I135" t="str">
        <f>H135&amp;"_"&amp;E135</f>
        <v>PHBKH_45327</v>
      </c>
    </row>
    <row r="136" spans="1:9" x14ac:dyDescent="0.3">
      <c r="A136" s="2" t="s">
        <v>56</v>
      </c>
      <c r="B136" s="2">
        <v>701</v>
      </c>
      <c r="C136" s="2" t="s">
        <v>173</v>
      </c>
      <c r="D136" s="3">
        <v>45327</v>
      </c>
      <c r="E136" s="3">
        <v>45327</v>
      </c>
      <c r="F136" s="2" t="s">
        <v>58</v>
      </c>
      <c r="G136" s="2" t="s">
        <v>93</v>
      </c>
      <c r="H136" t="str">
        <f>"PH"&amp;MID(G136,IFERROR(FIND("PH-",G136)+3,IFERROR(FIND("ph-",G136)+3,IFERROR(FIND("PH",G136)+2,IFERROR(FIND("ph",G136)+2,0)))),3)</f>
        <v>PHBHM</v>
      </c>
      <c r="I136" t="str">
        <f>H136&amp;"_"&amp;E136</f>
        <v>PHBHM_45327</v>
      </c>
    </row>
    <row r="137" spans="1:9" x14ac:dyDescent="0.3">
      <c r="A137" s="2" t="s">
        <v>56</v>
      </c>
      <c r="B137" s="2">
        <v>745</v>
      </c>
      <c r="C137" s="2" t="s">
        <v>256</v>
      </c>
      <c r="D137" s="3">
        <v>45327</v>
      </c>
      <c r="E137" s="3">
        <v>45327</v>
      </c>
      <c r="F137" s="2" t="s">
        <v>58</v>
      </c>
      <c r="G137" s="2" t="s">
        <v>125</v>
      </c>
      <c r="H137" t="str">
        <f>"PH"&amp;MID(G137,IFERROR(FIND("PH-",G137)+3,IFERROR(FIND("ph-",G137)+3,IFERROR(FIND("PH",G137)+2,IFERROR(FIND("ph",G137)+2,0)))),3)</f>
        <v>PHBKI</v>
      </c>
      <c r="I137" t="str">
        <f>H137&amp;"_"&amp;E137</f>
        <v>PHBKI_45327</v>
      </c>
    </row>
    <row r="138" spans="1:9" x14ac:dyDescent="0.3">
      <c r="A138" s="2" t="s">
        <v>56</v>
      </c>
      <c r="B138" s="2">
        <v>601</v>
      </c>
      <c r="C138" s="2" t="s">
        <v>80</v>
      </c>
      <c r="D138" s="3">
        <v>45328</v>
      </c>
      <c r="E138" s="3">
        <v>45328</v>
      </c>
      <c r="F138" s="2" t="s">
        <v>58</v>
      </c>
      <c r="G138" s="2" t="s">
        <v>107</v>
      </c>
      <c r="H138" t="str">
        <f>"PH"&amp;MID(G138,IFERROR(FIND("PH-",G138)+3,IFERROR(FIND("ph-",G138)+3,IFERROR(FIND("PH",G138)+2,IFERROR(FIND("ph",G138)+2,0)))),3)</f>
        <v>PHBKK</v>
      </c>
      <c r="I138" t="str">
        <f>H138&amp;"_"&amp;E138</f>
        <v>PHBKK_45328</v>
      </c>
    </row>
    <row r="139" spans="1:9" x14ac:dyDescent="0.3">
      <c r="A139" s="2" t="s">
        <v>56</v>
      </c>
      <c r="B139" s="2">
        <v>605</v>
      </c>
      <c r="C139" s="2" t="s">
        <v>81</v>
      </c>
      <c r="D139" s="3">
        <v>45328</v>
      </c>
      <c r="E139" s="3">
        <v>45328</v>
      </c>
      <c r="F139" s="2" t="s">
        <v>58</v>
      </c>
      <c r="G139" s="2" t="s">
        <v>107</v>
      </c>
      <c r="H139" t="str">
        <f>"PH"&amp;MID(G139,IFERROR(FIND("PH-",G139)+3,IFERROR(FIND("ph-",G139)+3,IFERROR(FIND("PH",G139)+2,IFERROR(FIND("ph",G139)+2,0)))),3)</f>
        <v>PHBKK</v>
      </c>
      <c r="I139" t="str">
        <f>H139&amp;"_"&amp;E139</f>
        <v>PHBKK_45328</v>
      </c>
    </row>
    <row r="140" spans="1:9" x14ac:dyDescent="0.3">
      <c r="A140" s="2" t="s">
        <v>56</v>
      </c>
      <c r="B140" s="2">
        <v>571</v>
      </c>
      <c r="C140" s="2" t="s">
        <v>70</v>
      </c>
      <c r="D140" s="3">
        <v>45328</v>
      </c>
      <c r="E140" s="3">
        <v>45328</v>
      </c>
      <c r="F140" s="2" t="s">
        <v>58</v>
      </c>
      <c r="G140" s="2" t="s">
        <v>107</v>
      </c>
      <c r="H140" t="str">
        <f>"PH"&amp;MID(G140,IFERROR(FIND("PH-",G140)+3,IFERROR(FIND("ph-",G140)+3,IFERROR(FIND("PH",G140)+2,IFERROR(FIND("ph",G140)+2,0)))),3)</f>
        <v>PHBKK</v>
      </c>
      <c r="I140" t="str">
        <f>H140&amp;"_"&amp;E140</f>
        <v>PHBKK_45328</v>
      </c>
    </row>
    <row r="141" spans="1:9" x14ac:dyDescent="0.3">
      <c r="A141" s="2" t="s">
        <v>56</v>
      </c>
      <c r="B141" s="2">
        <v>635</v>
      </c>
      <c r="C141" s="2" t="s">
        <v>91</v>
      </c>
      <c r="D141" s="3">
        <v>45328</v>
      </c>
      <c r="E141" s="3">
        <v>45328</v>
      </c>
      <c r="F141" s="2" t="s">
        <v>58</v>
      </c>
      <c r="G141" s="2" t="s">
        <v>93</v>
      </c>
      <c r="H141" t="str">
        <f>"PH"&amp;MID(G141,IFERROR(FIND("PH-",G141)+3,IFERROR(FIND("ph-",G141)+3,IFERROR(FIND("PH",G141)+2,IFERROR(FIND("ph",G141)+2,0)))),3)</f>
        <v>PHBHM</v>
      </c>
      <c r="I141" t="str">
        <f>H141&amp;"_"&amp;E141</f>
        <v>PHBHM_45328</v>
      </c>
    </row>
    <row r="142" spans="1:9" x14ac:dyDescent="0.3">
      <c r="A142" s="2" t="s">
        <v>56</v>
      </c>
      <c r="B142" s="2">
        <v>705</v>
      </c>
      <c r="C142" s="2" t="s">
        <v>177</v>
      </c>
      <c r="D142" s="3">
        <v>45328</v>
      </c>
      <c r="E142" s="3">
        <v>45328</v>
      </c>
      <c r="F142" s="2" t="s">
        <v>58</v>
      </c>
      <c r="G142" s="2" t="s">
        <v>123</v>
      </c>
      <c r="H142" t="str">
        <f>"PH"&amp;MID(G142,IFERROR(FIND("PH-",G142)+3,IFERROR(FIND("ph-",G142)+3,IFERROR(FIND("PH",G142)+2,IFERROR(FIND("ph",G142)+2,0)))),3)</f>
        <v>PHBHA</v>
      </c>
      <c r="I142" t="str">
        <f>H142&amp;"_"&amp;E142</f>
        <v>PHBHA_45328</v>
      </c>
    </row>
    <row r="143" spans="1:9" x14ac:dyDescent="0.3">
      <c r="A143" s="2" t="s">
        <v>56</v>
      </c>
      <c r="B143" s="2">
        <v>871</v>
      </c>
      <c r="C143" s="2" t="s">
        <v>203</v>
      </c>
      <c r="D143" s="3">
        <v>45328</v>
      </c>
      <c r="E143" s="3">
        <v>45328</v>
      </c>
      <c r="F143" s="2" t="s">
        <v>58</v>
      </c>
      <c r="G143" s="2" t="s">
        <v>283</v>
      </c>
      <c r="H143" t="str">
        <f>"PH"&amp;MID(G143,IFERROR(FIND("PH-",G143)+3,IFERROR(FIND("ph-",G143)+3,IFERROR(FIND("PH",G143)+2,IFERROR(FIND("ph",G143)+2,0)))),3)</f>
        <v>PHBVO</v>
      </c>
      <c r="I143" t="str">
        <f>H143&amp;"_"&amp;E143</f>
        <v>PHBVO_45328</v>
      </c>
    </row>
    <row r="144" spans="1:9" x14ac:dyDescent="0.3">
      <c r="A144" s="2" t="s">
        <v>56</v>
      </c>
      <c r="B144" s="2">
        <v>757</v>
      </c>
      <c r="C144" s="2" t="s">
        <v>189</v>
      </c>
      <c r="D144" s="3">
        <v>45329</v>
      </c>
      <c r="E144" s="3">
        <v>45329</v>
      </c>
      <c r="F144" s="2" t="s">
        <v>58</v>
      </c>
      <c r="G144" s="2" t="s">
        <v>170</v>
      </c>
      <c r="H144" t="str">
        <f>"PH"&amp;MID(G144,IFERROR(FIND("PH-",G144)+3,IFERROR(FIND("ph-",G144)+3,IFERROR(FIND("PH",G144)+2,IFERROR(FIND("ph",G144)+2,0)))),3)</f>
        <v>PHBKK</v>
      </c>
      <c r="I144" t="str">
        <f>H144&amp;"_"&amp;E144</f>
        <v>PHBKK_45329</v>
      </c>
    </row>
    <row r="145" spans="1:9" x14ac:dyDescent="0.3">
      <c r="A145" s="2" t="s">
        <v>56</v>
      </c>
      <c r="B145" s="2">
        <v>685</v>
      </c>
      <c r="C145" s="2" t="s">
        <v>146</v>
      </c>
      <c r="D145" s="3">
        <v>45329</v>
      </c>
      <c r="E145" s="3">
        <v>45329</v>
      </c>
      <c r="F145" s="2" t="s">
        <v>58</v>
      </c>
      <c r="G145" s="2" t="s">
        <v>93</v>
      </c>
      <c r="H145" t="str">
        <f>"PH"&amp;MID(G145,IFERROR(FIND("PH-",G145)+3,IFERROR(FIND("ph-",G145)+3,IFERROR(FIND("PH",G145)+2,IFERROR(FIND("ph",G145)+2,0)))),3)</f>
        <v>PHBHM</v>
      </c>
      <c r="I145" t="str">
        <f>H145&amp;"_"&amp;E145</f>
        <v>PHBHM_45329</v>
      </c>
    </row>
    <row r="146" spans="1:9" x14ac:dyDescent="0.3">
      <c r="A146" s="2" t="s">
        <v>56</v>
      </c>
      <c r="B146" s="2">
        <v>721</v>
      </c>
      <c r="C146" s="2" t="s">
        <v>251</v>
      </c>
      <c r="D146" s="3">
        <v>45329</v>
      </c>
      <c r="E146" s="3">
        <v>45329</v>
      </c>
      <c r="F146" s="2" t="s">
        <v>58</v>
      </c>
      <c r="G146" s="2" t="s">
        <v>252</v>
      </c>
      <c r="H146" t="str">
        <f>"PH"&amp;MID(G146,IFERROR(FIND("PH-",G146)+3,IFERROR(FIND("ph-",G146)+3,IFERROR(FIND("PH",G146)+2,IFERROR(FIND("ph",G146)+2,0)))),3)</f>
        <v>PHBVO</v>
      </c>
      <c r="I146" t="str">
        <f>H146&amp;"_"&amp;E146</f>
        <v>PHBVO_45329</v>
      </c>
    </row>
    <row r="147" spans="1:9" x14ac:dyDescent="0.3">
      <c r="A147" s="2" t="s">
        <v>56</v>
      </c>
      <c r="B147" s="2">
        <v>897</v>
      </c>
      <c r="C147" s="2" t="s">
        <v>214</v>
      </c>
      <c r="D147" s="3">
        <v>45329</v>
      </c>
      <c r="E147" s="3">
        <v>45329</v>
      </c>
      <c r="F147" s="2" t="s">
        <v>58</v>
      </c>
      <c r="G147" s="2" t="s">
        <v>123</v>
      </c>
      <c r="H147" t="str">
        <f>"PH"&amp;MID(G147,IFERROR(FIND("PH-",G147)+3,IFERROR(FIND("ph-",G147)+3,IFERROR(FIND("PH",G147)+2,IFERROR(FIND("ph",G147)+2,0)))),3)</f>
        <v>PHBHA</v>
      </c>
      <c r="I147" t="str">
        <f>H147&amp;"_"&amp;E147</f>
        <v>PHBHA_45329</v>
      </c>
    </row>
    <row r="148" spans="1:9" x14ac:dyDescent="0.3">
      <c r="A148" s="2" t="s">
        <v>56</v>
      </c>
      <c r="B148" s="2">
        <v>605</v>
      </c>
      <c r="C148" s="2" t="s">
        <v>81</v>
      </c>
      <c r="D148" s="3">
        <v>45330</v>
      </c>
      <c r="E148" s="3">
        <v>45330</v>
      </c>
      <c r="F148" s="2" t="s">
        <v>58</v>
      </c>
      <c r="G148" s="2" t="s">
        <v>114</v>
      </c>
      <c r="H148" t="str">
        <f>"PH"&amp;MID(G148,IFERROR(FIND("PH-",G148)+3,IFERROR(FIND("ph-",G148)+3,IFERROR(FIND("PH",G148)+2,IFERROR(FIND("ph",G148)+2,0)))),3)</f>
        <v>PHBKH</v>
      </c>
      <c r="I148" t="str">
        <f>H148&amp;"_"&amp;E148</f>
        <v>PHBKH_45330</v>
      </c>
    </row>
    <row r="149" spans="1:9" x14ac:dyDescent="0.3">
      <c r="A149" s="2" t="s">
        <v>56</v>
      </c>
      <c r="B149" s="2">
        <v>643</v>
      </c>
      <c r="C149" s="2" t="s">
        <v>98</v>
      </c>
      <c r="D149" s="3">
        <v>45330</v>
      </c>
      <c r="E149" s="3">
        <v>45330</v>
      </c>
      <c r="F149" s="2" t="s">
        <v>58</v>
      </c>
      <c r="G149" s="2" t="s">
        <v>156</v>
      </c>
      <c r="H149" t="str">
        <f>"PH"&amp;MID(G149,IFERROR(FIND("PH-",G149)+3,IFERROR(FIND("ph-",G149)+3,IFERROR(FIND("PH",G149)+2,IFERROR(FIND("ph",G149)+2,0)))),3)</f>
        <v>PHBHM</v>
      </c>
      <c r="I149" t="str">
        <f>H149&amp;"_"&amp;E149</f>
        <v>PHBHM_45330</v>
      </c>
    </row>
    <row r="150" spans="1:9" x14ac:dyDescent="0.3">
      <c r="A150" s="2" t="s">
        <v>56</v>
      </c>
      <c r="B150" s="2">
        <v>691</v>
      </c>
      <c r="C150" s="2" t="s">
        <v>150</v>
      </c>
      <c r="D150" s="3">
        <v>45330</v>
      </c>
      <c r="E150" s="3">
        <v>45330</v>
      </c>
      <c r="F150" s="2" t="s">
        <v>58</v>
      </c>
      <c r="G150" s="2" t="s">
        <v>170</v>
      </c>
      <c r="H150" t="str">
        <f>"PH"&amp;MID(G150,IFERROR(FIND("PH-",G150)+3,IFERROR(FIND("ph-",G150)+3,IFERROR(FIND("PH",G150)+2,IFERROR(FIND("ph",G150)+2,0)))),3)</f>
        <v>PHBKK</v>
      </c>
      <c r="I150" t="str">
        <f>H150&amp;"_"&amp;E150</f>
        <v>PHBKK_45330</v>
      </c>
    </row>
    <row r="151" spans="1:9" x14ac:dyDescent="0.3">
      <c r="A151" s="2" t="s">
        <v>56</v>
      </c>
      <c r="B151" s="2">
        <v>701</v>
      </c>
      <c r="C151" s="2" t="s">
        <v>173</v>
      </c>
      <c r="D151" s="3">
        <v>45330</v>
      </c>
      <c r="E151" s="3">
        <v>45330</v>
      </c>
      <c r="F151" s="2" t="s">
        <v>58</v>
      </c>
      <c r="G151" s="2" t="s">
        <v>123</v>
      </c>
      <c r="H151" t="str">
        <f>"PH"&amp;MID(G151,IFERROR(FIND("PH-",G151)+3,IFERROR(FIND("ph-",G151)+3,IFERROR(FIND("PH",G151)+2,IFERROR(FIND("ph",G151)+2,0)))),3)</f>
        <v>PHBHA</v>
      </c>
      <c r="I151" t="str">
        <f>H151&amp;"_"&amp;E151</f>
        <v>PHBHA_45330</v>
      </c>
    </row>
    <row r="152" spans="1:9" x14ac:dyDescent="0.3">
      <c r="A152" s="2" t="s">
        <v>56</v>
      </c>
      <c r="B152" s="2">
        <v>875</v>
      </c>
      <c r="C152" s="2" t="s">
        <v>205</v>
      </c>
      <c r="D152" s="3">
        <v>45330</v>
      </c>
      <c r="E152" s="3">
        <v>45330</v>
      </c>
      <c r="F152" s="2" t="s">
        <v>58</v>
      </c>
      <c r="G152" s="2" t="s">
        <v>284</v>
      </c>
      <c r="H152" t="str">
        <f>"PH"&amp;MID(G152,IFERROR(FIND("PH-",G152)+3,IFERROR(FIND("ph-",G152)+3,IFERROR(FIND("PH",G152)+2,IFERROR(FIND("ph",G152)+2,0)))),3)</f>
        <v>PHBVO</v>
      </c>
      <c r="I152" t="str">
        <f>H152&amp;"_"&amp;E152</f>
        <v>PHBVO_45330</v>
      </c>
    </row>
    <row r="153" spans="1:9" x14ac:dyDescent="0.3">
      <c r="A153" s="2" t="s">
        <v>56</v>
      </c>
      <c r="B153" s="2">
        <v>677</v>
      </c>
      <c r="C153" s="2" t="s">
        <v>140</v>
      </c>
      <c r="D153" s="3">
        <v>45331</v>
      </c>
      <c r="E153" s="3">
        <v>45331</v>
      </c>
      <c r="F153" s="2" t="s">
        <v>58</v>
      </c>
      <c r="G153" s="2" t="s">
        <v>143</v>
      </c>
      <c r="H153" t="str">
        <f>"PH"&amp;MID(G153,IFERROR(FIND("PH-",G153)+3,IFERROR(FIND("ph-",G153)+3,IFERROR(FIND("PH",G153)+2,IFERROR(FIND("ph",G153)+2,0)))),3)</f>
        <v>PHBHM</v>
      </c>
      <c r="I153" t="str">
        <f>H153&amp;"_"&amp;E153</f>
        <v>PHBHM_45331</v>
      </c>
    </row>
    <row r="154" spans="1:9" x14ac:dyDescent="0.3">
      <c r="A154" s="2" t="s">
        <v>56</v>
      </c>
      <c r="B154" s="2">
        <v>691</v>
      </c>
      <c r="C154" s="2" t="s">
        <v>150</v>
      </c>
      <c r="D154" s="3">
        <v>45331</v>
      </c>
      <c r="E154" s="3">
        <v>45331</v>
      </c>
      <c r="F154" s="2" t="s">
        <v>58</v>
      </c>
      <c r="G154" s="2" t="s">
        <v>108</v>
      </c>
      <c r="H154" t="str">
        <f>"PH"&amp;MID(G154,IFERROR(FIND("PH-",G154)+3,IFERROR(FIND("ph-",G154)+3,IFERROR(FIND("PH",G154)+2,IFERROR(FIND("ph",G154)+2,0)))),3)</f>
        <v>PHBKC</v>
      </c>
      <c r="I154" t="str">
        <f>H154&amp;"_"&amp;E154</f>
        <v>PHBKC_45331</v>
      </c>
    </row>
    <row r="155" spans="1:9" x14ac:dyDescent="0.3">
      <c r="A155" s="2" t="s">
        <v>56</v>
      </c>
      <c r="B155" s="2">
        <v>741</v>
      </c>
      <c r="C155" s="2" t="s">
        <v>184</v>
      </c>
      <c r="D155" s="3">
        <v>45331</v>
      </c>
      <c r="E155" s="3">
        <v>45331</v>
      </c>
      <c r="F155" s="2" t="s">
        <v>58</v>
      </c>
      <c r="G155" s="2" t="s">
        <v>186</v>
      </c>
      <c r="H155" t="str">
        <f>"PH"&amp;MID(G155,IFERROR(FIND("PH-",G155)+3,IFERROR(FIND("ph-",G155)+3,IFERROR(FIND("PH",G155)+2,IFERROR(FIND("ph",G155)+2,0)))),3)</f>
        <v>PHBKG</v>
      </c>
      <c r="I155" t="str">
        <f>H155&amp;"_"&amp;E155</f>
        <v>PHBKG_45331</v>
      </c>
    </row>
    <row r="156" spans="1:9" x14ac:dyDescent="0.3">
      <c r="A156" s="2" t="s">
        <v>56</v>
      </c>
      <c r="B156" s="2">
        <v>605</v>
      </c>
      <c r="C156" s="2" t="s">
        <v>81</v>
      </c>
      <c r="D156" s="3">
        <v>45331</v>
      </c>
      <c r="E156" s="3">
        <v>45331</v>
      </c>
      <c r="F156" s="2" t="s">
        <v>58</v>
      </c>
      <c r="G156" s="2" t="s">
        <v>219</v>
      </c>
      <c r="H156" t="str">
        <f>"PH"&amp;MID(G156,IFERROR(FIND("PH-",G156)+3,IFERROR(FIND("ph-",G156)+3,IFERROR(FIND("PH",G156)+2,IFERROR(FIND("ph",G156)+2,0)))),3)</f>
        <v>PHBKK</v>
      </c>
      <c r="I156" t="str">
        <f>H156&amp;"_"&amp;E156</f>
        <v>PHBKK_45331</v>
      </c>
    </row>
    <row r="157" spans="1:9" x14ac:dyDescent="0.3">
      <c r="A157" s="2" t="s">
        <v>56</v>
      </c>
      <c r="B157" s="2">
        <v>897</v>
      </c>
      <c r="C157" s="2" t="s">
        <v>214</v>
      </c>
      <c r="D157" s="3">
        <v>45331</v>
      </c>
      <c r="E157" s="3">
        <v>45331</v>
      </c>
      <c r="F157" s="2" t="s">
        <v>58</v>
      </c>
      <c r="G157" s="2" t="s">
        <v>165</v>
      </c>
      <c r="H157" t="str">
        <f>"PH"&amp;MID(G157,IFERROR(FIND("PH-",G157)+3,IFERROR(FIND("ph-",G157)+3,IFERROR(FIND("PH",G157)+2,IFERROR(FIND("ph",G157)+2,0)))),3)</f>
        <v>PHBHM</v>
      </c>
      <c r="I157" t="str">
        <f>H157&amp;"_"&amp;E157</f>
        <v>PHBHM_45331</v>
      </c>
    </row>
    <row r="158" spans="1:9" x14ac:dyDescent="0.3">
      <c r="A158" s="2" t="s">
        <v>56</v>
      </c>
      <c r="B158" s="2">
        <v>569</v>
      </c>
      <c r="C158" s="2" t="s">
        <v>106</v>
      </c>
      <c r="D158" s="3">
        <v>45332</v>
      </c>
      <c r="E158" s="3">
        <v>45332</v>
      </c>
      <c r="F158" s="2" t="s">
        <v>58</v>
      </c>
      <c r="G158" s="2" t="s">
        <v>108</v>
      </c>
      <c r="H158" t="str">
        <f>"PH"&amp;MID(G158,IFERROR(FIND("PH-",G158)+3,IFERROR(FIND("ph-",G158)+3,IFERROR(FIND("PH",G158)+2,IFERROR(FIND("ph",G158)+2,0)))),3)</f>
        <v>PHBKC</v>
      </c>
      <c r="I158" t="str">
        <f>H158&amp;"_"&amp;E158</f>
        <v>PHBKC_45332</v>
      </c>
    </row>
    <row r="159" spans="1:9" x14ac:dyDescent="0.3">
      <c r="A159" s="2" t="s">
        <v>56</v>
      </c>
      <c r="B159" s="2">
        <v>685</v>
      </c>
      <c r="C159" s="2" t="s">
        <v>146</v>
      </c>
      <c r="D159" s="3">
        <v>45332</v>
      </c>
      <c r="E159" s="3">
        <v>45332</v>
      </c>
      <c r="F159" s="2" t="s">
        <v>58</v>
      </c>
      <c r="G159" s="2" t="s">
        <v>165</v>
      </c>
      <c r="H159" t="str">
        <f>"PH"&amp;MID(G159,IFERROR(FIND("PH-",G159)+3,IFERROR(FIND("ph-",G159)+3,IFERROR(FIND("PH",G159)+2,IFERROR(FIND("ph",G159)+2,0)))),3)</f>
        <v>PHBHM</v>
      </c>
      <c r="I159" t="str">
        <f>H159&amp;"_"&amp;E159</f>
        <v>PHBHM_45332</v>
      </c>
    </row>
    <row r="160" spans="1:9" x14ac:dyDescent="0.3">
      <c r="A160" s="2" t="s">
        <v>56</v>
      </c>
      <c r="B160" s="2">
        <v>735</v>
      </c>
      <c r="C160" s="2" t="s">
        <v>182</v>
      </c>
      <c r="D160" s="3">
        <v>45332</v>
      </c>
      <c r="E160" s="3">
        <v>45332</v>
      </c>
      <c r="F160" s="2" t="s">
        <v>58</v>
      </c>
      <c r="G160" s="2" t="s">
        <v>68</v>
      </c>
      <c r="H160" t="str">
        <f>"PH"&amp;MID(G160,IFERROR(FIND("PH-",G160)+3,IFERROR(FIND("ph-",G160)+3,IFERROR(FIND("PH",G160)+2,IFERROR(FIND("ph",G160)+2,0)))),3)</f>
        <v>PHBVO</v>
      </c>
      <c r="I160" t="str">
        <f>H160&amp;"_"&amp;E160</f>
        <v>PHBVO_45332</v>
      </c>
    </row>
    <row r="161" spans="1:9" x14ac:dyDescent="0.3">
      <c r="A161" s="2" t="s">
        <v>56</v>
      </c>
      <c r="B161" s="2">
        <v>667</v>
      </c>
      <c r="C161" s="2" t="s">
        <v>135</v>
      </c>
      <c r="D161" s="3">
        <v>45332</v>
      </c>
      <c r="E161" s="3">
        <v>45332</v>
      </c>
      <c r="F161" s="2" t="s">
        <v>58</v>
      </c>
      <c r="G161" s="2" t="s">
        <v>123</v>
      </c>
      <c r="H161" t="str">
        <f>"PH"&amp;MID(G161,IFERROR(FIND("PH-",G161)+3,IFERROR(FIND("ph-",G161)+3,IFERROR(FIND("PH",G161)+2,IFERROR(FIND("ph",G161)+2,0)))),3)</f>
        <v>PHBHA</v>
      </c>
      <c r="I161" t="str">
        <f>H161&amp;"_"&amp;E161</f>
        <v>PHBHA_45332</v>
      </c>
    </row>
    <row r="162" spans="1:9" x14ac:dyDescent="0.3">
      <c r="A162" s="2" t="s">
        <v>56</v>
      </c>
      <c r="B162" s="2">
        <v>643</v>
      </c>
      <c r="C162" s="2" t="s">
        <v>98</v>
      </c>
      <c r="D162" s="3">
        <v>45332</v>
      </c>
      <c r="E162" s="3">
        <v>45332</v>
      </c>
      <c r="F162" s="2" t="s">
        <v>58</v>
      </c>
      <c r="G162" s="2" t="s">
        <v>239</v>
      </c>
      <c r="H162" t="str">
        <f>"PH"&amp;MID(G162,IFERROR(FIND("PH-",G162)+3,IFERROR(FIND("ph-",G162)+3,IFERROR(FIND("PH",G162)+2,IFERROR(FIND("ph",G162)+2,0)))),3)</f>
        <v>PHBQL</v>
      </c>
      <c r="I162" t="str">
        <f>H162&amp;"_"&amp;E162</f>
        <v>PHBQL_45332</v>
      </c>
    </row>
    <row r="163" spans="1:9" x14ac:dyDescent="0.3">
      <c r="A163" s="2" t="s">
        <v>56</v>
      </c>
      <c r="B163" s="2">
        <v>605</v>
      </c>
      <c r="C163" s="2" t="s">
        <v>81</v>
      </c>
      <c r="D163" s="3">
        <v>45333</v>
      </c>
      <c r="E163" s="3">
        <v>45333</v>
      </c>
      <c r="F163" s="2" t="s">
        <v>58</v>
      </c>
      <c r="G163" s="2" t="s">
        <v>71</v>
      </c>
      <c r="H163" t="str">
        <f>"PH"&amp;MID(G163,IFERROR(FIND("PH-",G163)+3,IFERROR(FIND("ph-",G163)+3,IFERROR(FIND("PH",G163)+2,IFERROR(FIND("ph",G163)+2,0)))),3)</f>
        <v>PHBKG</v>
      </c>
      <c r="I163" t="str">
        <f>H163&amp;"_"&amp;E163</f>
        <v>PHBKG_45333</v>
      </c>
    </row>
    <row r="164" spans="1:9" x14ac:dyDescent="0.3">
      <c r="A164" s="2" t="s">
        <v>56</v>
      </c>
      <c r="B164" s="2">
        <v>591</v>
      </c>
      <c r="C164" s="2" t="s">
        <v>76</v>
      </c>
      <c r="D164" s="3">
        <v>45333</v>
      </c>
      <c r="E164" s="3">
        <v>45333</v>
      </c>
      <c r="F164" s="2" t="s">
        <v>58</v>
      </c>
      <c r="G164" s="2" t="s">
        <v>68</v>
      </c>
      <c r="H164" t="str">
        <f>"PH"&amp;MID(G164,IFERROR(FIND("PH-",G164)+3,IFERROR(FIND("ph-",G164)+3,IFERROR(FIND("PH",G164)+2,IFERROR(FIND("ph",G164)+2,0)))),3)</f>
        <v>PHBVO</v>
      </c>
      <c r="I164" t="str">
        <f>H164&amp;"_"&amp;E164</f>
        <v>PHBVO_45333</v>
      </c>
    </row>
    <row r="165" spans="1:9" x14ac:dyDescent="0.3">
      <c r="A165" s="2" t="s">
        <v>56</v>
      </c>
      <c r="B165" s="2">
        <v>621</v>
      </c>
      <c r="C165" s="2" t="s">
        <v>83</v>
      </c>
      <c r="D165" s="3">
        <v>45333</v>
      </c>
      <c r="E165" s="3">
        <v>45333</v>
      </c>
      <c r="F165" s="2" t="s">
        <v>58</v>
      </c>
      <c r="G165" s="2" t="s">
        <v>71</v>
      </c>
      <c r="H165" t="str">
        <f>"PH"&amp;MID(G165,IFERROR(FIND("PH-",G165)+3,IFERROR(FIND("ph-",G165)+3,IFERROR(FIND("PH",G165)+2,IFERROR(FIND("ph",G165)+2,0)))),3)</f>
        <v>PHBKG</v>
      </c>
      <c r="I165" t="str">
        <f>H165&amp;"_"&amp;E165</f>
        <v>PHBKG_45333</v>
      </c>
    </row>
    <row r="166" spans="1:9" x14ac:dyDescent="0.3">
      <c r="A166" s="2" t="s">
        <v>56</v>
      </c>
      <c r="B166" s="2">
        <v>643</v>
      </c>
      <c r="C166" s="2" t="s">
        <v>98</v>
      </c>
      <c r="D166" s="3">
        <v>45333</v>
      </c>
      <c r="E166" s="3">
        <v>45333</v>
      </c>
      <c r="F166" s="2" t="s">
        <v>58</v>
      </c>
      <c r="G166" s="2" t="s">
        <v>93</v>
      </c>
      <c r="H166" t="str">
        <f>"PH"&amp;MID(G166,IFERROR(FIND("PH-",G166)+3,IFERROR(FIND("ph-",G166)+3,IFERROR(FIND("PH",G166)+2,IFERROR(FIND("ph",G166)+2,0)))),3)</f>
        <v>PHBHM</v>
      </c>
      <c r="I166" t="str">
        <f>H166&amp;"_"&amp;E166</f>
        <v>PHBHM_45333</v>
      </c>
    </row>
    <row r="167" spans="1:9" x14ac:dyDescent="0.3">
      <c r="A167" s="2" t="s">
        <v>56</v>
      </c>
      <c r="B167" s="2">
        <v>667</v>
      </c>
      <c r="C167" s="2" t="s">
        <v>135</v>
      </c>
      <c r="D167" s="3">
        <v>45334</v>
      </c>
      <c r="E167" s="3">
        <v>45334</v>
      </c>
      <c r="F167" s="2" t="s">
        <v>58</v>
      </c>
      <c r="G167" s="2" t="s">
        <v>93</v>
      </c>
      <c r="H167" t="str">
        <f>"PH"&amp;MID(G167,IFERROR(FIND("PH-",G167)+3,IFERROR(FIND("ph-",G167)+3,IFERROR(FIND("PH",G167)+2,IFERROR(FIND("ph",G167)+2,0)))),3)</f>
        <v>PHBHM</v>
      </c>
      <c r="I167" t="str">
        <f>H167&amp;"_"&amp;E167</f>
        <v>PHBHM_45334</v>
      </c>
    </row>
    <row r="168" spans="1:9" x14ac:dyDescent="0.3">
      <c r="A168" s="2" t="s">
        <v>56</v>
      </c>
      <c r="B168" s="2">
        <v>621</v>
      </c>
      <c r="C168" s="2" t="s">
        <v>83</v>
      </c>
      <c r="D168" s="3">
        <v>45334</v>
      </c>
      <c r="E168" s="3">
        <v>45334</v>
      </c>
      <c r="F168" s="2" t="s">
        <v>58</v>
      </c>
      <c r="G168" s="2" t="s">
        <v>85</v>
      </c>
      <c r="H168" t="str">
        <f>"PH"&amp;MID(G168,IFERROR(FIND("PH-",G168)+3,IFERROR(FIND("ph-",G168)+3,IFERROR(FIND("PH",G168)+2,IFERROR(FIND("ph",G168)+2,0)))),3)</f>
        <v>PHBKC</v>
      </c>
      <c r="I168" t="str">
        <f>H168&amp;"_"&amp;E168</f>
        <v>PHBKC_45334</v>
      </c>
    </row>
    <row r="169" spans="1:9" x14ac:dyDescent="0.3">
      <c r="A169" s="2" t="s">
        <v>56</v>
      </c>
      <c r="B169" s="2">
        <v>677</v>
      </c>
      <c r="C169" s="2" t="s">
        <v>140</v>
      </c>
      <c r="D169" s="3">
        <v>45334</v>
      </c>
      <c r="E169" s="3">
        <v>45334</v>
      </c>
      <c r="F169" s="2" t="s">
        <v>58</v>
      </c>
      <c r="G169" s="2" t="s">
        <v>71</v>
      </c>
      <c r="H169" t="str">
        <f>"PH"&amp;MID(G169,IFERROR(FIND("PH-",G169)+3,IFERROR(FIND("ph-",G169)+3,IFERROR(FIND("PH",G169)+2,IFERROR(FIND("ph",G169)+2,0)))),3)</f>
        <v>PHBKG</v>
      </c>
      <c r="I169" t="str">
        <f>H169&amp;"_"&amp;E169</f>
        <v>PHBKG_45334</v>
      </c>
    </row>
    <row r="170" spans="1:9" x14ac:dyDescent="0.3">
      <c r="A170" s="2" t="s">
        <v>56</v>
      </c>
      <c r="B170" s="2">
        <v>877</v>
      </c>
      <c r="C170" s="2" t="s">
        <v>206</v>
      </c>
      <c r="D170" s="3">
        <v>45334</v>
      </c>
      <c r="E170" s="3">
        <v>45334</v>
      </c>
      <c r="F170" s="2" t="s">
        <v>58</v>
      </c>
      <c r="G170" s="2" t="s">
        <v>263</v>
      </c>
      <c r="H170" t="str">
        <f>"PH"&amp;MID(G170,IFERROR(FIND("PH-",G170)+3,IFERROR(FIND("ph-",G170)+3,IFERROR(FIND("PH",G170)+2,IFERROR(FIND("ph",G170)+2,0)))),3)</f>
        <v>PHBKG</v>
      </c>
      <c r="I170" t="str">
        <f>H170&amp;"_"&amp;E170</f>
        <v>PHBKG_45334</v>
      </c>
    </row>
    <row r="171" spans="1:9" x14ac:dyDescent="0.3">
      <c r="A171" s="2" t="s">
        <v>56</v>
      </c>
      <c r="B171" s="2">
        <v>879</v>
      </c>
      <c r="C171" s="2" t="s">
        <v>208</v>
      </c>
      <c r="D171" s="3">
        <v>45334</v>
      </c>
      <c r="E171" s="3">
        <v>45334</v>
      </c>
      <c r="F171" s="2" t="s">
        <v>58</v>
      </c>
      <c r="G171" s="2" t="s">
        <v>264</v>
      </c>
      <c r="H171" t="str">
        <f>"PH"&amp;MID(G171,IFERROR(FIND("PH-",G171)+3,IFERROR(FIND("ph-",G171)+3,IFERROR(FIND("PH",G171)+2,IFERROR(FIND("ph",G171)+2,0)))),3)</f>
        <v>PHBHM</v>
      </c>
      <c r="I171" t="str">
        <f>H171&amp;"_"&amp;E171</f>
        <v>PHBHM_45334</v>
      </c>
    </row>
    <row r="172" spans="1:9" x14ac:dyDescent="0.3">
      <c r="A172" s="2" t="s">
        <v>56</v>
      </c>
      <c r="B172" s="2">
        <v>867</v>
      </c>
      <c r="C172" s="2" t="s">
        <v>202</v>
      </c>
      <c r="D172" s="3">
        <v>45334</v>
      </c>
      <c r="E172" s="3">
        <v>45334</v>
      </c>
      <c r="F172" s="2" t="s">
        <v>58</v>
      </c>
      <c r="G172" s="2" t="s">
        <v>123</v>
      </c>
      <c r="H172" t="str">
        <f>"PH"&amp;MID(G172,IFERROR(FIND("PH-",G172)+3,IFERROR(FIND("ph-",G172)+3,IFERROR(FIND("PH",G172)+2,IFERROR(FIND("ph",G172)+2,0)))),3)</f>
        <v>PHBHA</v>
      </c>
      <c r="I172" t="str">
        <f>H172&amp;"_"&amp;E172</f>
        <v>PHBHA_45334</v>
      </c>
    </row>
    <row r="173" spans="1:9" x14ac:dyDescent="0.3">
      <c r="A173" s="2" t="s">
        <v>56</v>
      </c>
      <c r="B173" s="2">
        <v>871</v>
      </c>
      <c r="C173" s="2" t="s">
        <v>203</v>
      </c>
      <c r="D173" s="3">
        <v>45334</v>
      </c>
      <c r="E173" s="3">
        <v>45334</v>
      </c>
      <c r="F173" s="2" t="s">
        <v>58</v>
      </c>
      <c r="G173" s="2" t="s">
        <v>287</v>
      </c>
      <c r="H173" t="str">
        <f>"PH"&amp;MID(G173,IFERROR(FIND("PH-",G173)+3,IFERROR(FIND("ph-",G173)+3,IFERROR(FIND("PH",G173)+2,IFERROR(FIND("ph",G173)+2,0)))),3)</f>
        <v>PHBVO</v>
      </c>
      <c r="I173" t="str">
        <f>H173&amp;"_"&amp;E173</f>
        <v>PHBVO_45334</v>
      </c>
    </row>
    <row r="174" spans="1:9" x14ac:dyDescent="0.3">
      <c r="A174" s="2" t="s">
        <v>56</v>
      </c>
      <c r="B174" s="2">
        <v>571</v>
      </c>
      <c r="C174" s="2" t="s">
        <v>70</v>
      </c>
      <c r="D174" s="3">
        <v>45335</v>
      </c>
      <c r="E174" s="3">
        <v>45335</v>
      </c>
      <c r="F174" s="2" t="s">
        <v>58</v>
      </c>
      <c r="G174" s="2" t="s">
        <v>71</v>
      </c>
      <c r="H174" t="str">
        <f>"PH"&amp;MID(G174,IFERROR(FIND("PH-",G174)+3,IFERROR(FIND("ph-",G174)+3,IFERROR(FIND("PH",G174)+2,IFERROR(FIND("ph",G174)+2,0)))),3)</f>
        <v>PHBKG</v>
      </c>
      <c r="I174" t="str">
        <f>H174&amp;"_"&amp;E174</f>
        <v>PHBKG_45335</v>
      </c>
    </row>
    <row r="175" spans="1:9" x14ac:dyDescent="0.3">
      <c r="A175" s="2" t="s">
        <v>56</v>
      </c>
      <c r="B175" s="2">
        <v>621</v>
      </c>
      <c r="C175" s="2" t="s">
        <v>83</v>
      </c>
      <c r="D175" s="3">
        <v>45335</v>
      </c>
      <c r="E175" s="3">
        <v>45335</v>
      </c>
      <c r="F175" s="2" t="s">
        <v>58</v>
      </c>
      <c r="G175" s="2" t="s">
        <v>85</v>
      </c>
      <c r="H175" t="str">
        <f>"PH"&amp;MID(G175,IFERROR(FIND("PH-",G175)+3,IFERROR(FIND("ph-",G175)+3,IFERROR(FIND("PH",G175)+2,IFERROR(FIND("ph",G175)+2,0)))),3)</f>
        <v>PHBKC</v>
      </c>
      <c r="I175" t="str">
        <f>H175&amp;"_"&amp;E175</f>
        <v>PHBKC_45335</v>
      </c>
    </row>
    <row r="176" spans="1:9" x14ac:dyDescent="0.3">
      <c r="A176" s="2" t="s">
        <v>56</v>
      </c>
      <c r="B176" s="2">
        <v>877</v>
      </c>
      <c r="C176" s="2" t="s">
        <v>206</v>
      </c>
      <c r="D176" s="3">
        <v>45335</v>
      </c>
      <c r="E176" s="3">
        <v>45335</v>
      </c>
      <c r="F176" s="2" t="s">
        <v>58</v>
      </c>
      <c r="G176" s="2" t="s">
        <v>207</v>
      </c>
      <c r="H176" t="str">
        <f>"PH"&amp;MID(G176,IFERROR(FIND("PH-",G176)+3,IFERROR(FIND("ph-",G176)+3,IFERROR(FIND("PH",G176)+2,IFERROR(FIND("ph",G176)+2,0)))),3)</f>
        <v>PHBVO</v>
      </c>
      <c r="I176" t="str">
        <f>H176&amp;"_"&amp;E176</f>
        <v>PHBVO_45335</v>
      </c>
    </row>
    <row r="177" spans="1:9" x14ac:dyDescent="0.3">
      <c r="A177" s="2" t="s">
        <v>56</v>
      </c>
      <c r="B177" s="2">
        <v>705</v>
      </c>
      <c r="C177" s="2" t="s">
        <v>177</v>
      </c>
      <c r="D177" s="3">
        <v>45335</v>
      </c>
      <c r="E177" s="3">
        <v>45335</v>
      </c>
      <c r="F177" s="2" t="s">
        <v>58</v>
      </c>
      <c r="G177" s="2" t="s">
        <v>270</v>
      </c>
      <c r="H177" t="str">
        <f>"PH"&amp;MID(G177,IFERROR(FIND("PH-",G177)+3,IFERROR(FIND("ph-",G177)+3,IFERROR(FIND("PH",G177)+2,IFERROR(FIND("ph",G177)+2,0)))),3)</f>
        <v>PHBHA</v>
      </c>
      <c r="I177" t="str">
        <f>H177&amp;"_"&amp;E177</f>
        <v>PHBHA_45335</v>
      </c>
    </row>
    <row r="178" spans="1:9" x14ac:dyDescent="0.3">
      <c r="A178" s="2" t="s">
        <v>56</v>
      </c>
      <c r="B178" s="2">
        <v>565</v>
      </c>
      <c r="C178" s="2" t="s">
        <v>66</v>
      </c>
      <c r="D178" s="3">
        <v>45336</v>
      </c>
      <c r="E178" s="3">
        <v>45336</v>
      </c>
      <c r="F178" s="2" t="s">
        <v>58</v>
      </c>
      <c r="G178" s="2" t="s">
        <v>68</v>
      </c>
      <c r="H178" t="str">
        <f>"PH"&amp;MID(G178,IFERROR(FIND("PH-",G178)+3,IFERROR(FIND("ph-",G178)+3,IFERROR(FIND("PH",G178)+2,IFERROR(FIND("ph",G178)+2,0)))),3)</f>
        <v>PHBVO</v>
      </c>
      <c r="I178" t="str">
        <f>H178&amp;"_"&amp;E178</f>
        <v>PHBVO_45336</v>
      </c>
    </row>
    <row r="179" spans="1:9" x14ac:dyDescent="0.3">
      <c r="A179" s="2" t="s">
        <v>56</v>
      </c>
      <c r="B179" s="2">
        <v>617</v>
      </c>
      <c r="C179" s="2" t="s">
        <v>82</v>
      </c>
      <c r="D179" s="3">
        <v>45336</v>
      </c>
      <c r="E179" s="3">
        <v>45336</v>
      </c>
      <c r="F179" s="2" t="s">
        <v>58</v>
      </c>
      <c r="G179" s="2" t="s">
        <v>93</v>
      </c>
      <c r="H179" t="str">
        <f>"PH"&amp;MID(G179,IFERROR(FIND("PH-",G179)+3,IFERROR(FIND("ph-",G179)+3,IFERROR(FIND("PH",G179)+2,IFERROR(FIND("ph",G179)+2,0)))),3)</f>
        <v>PHBHM</v>
      </c>
      <c r="I179" t="str">
        <f>H179&amp;"_"&amp;E179</f>
        <v>PHBHM_45336</v>
      </c>
    </row>
    <row r="180" spans="1:9" x14ac:dyDescent="0.3">
      <c r="A180" s="2" t="s">
        <v>56</v>
      </c>
      <c r="B180" s="2">
        <v>621</v>
      </c>
      <c r="C180" s="2" t="s">
        <v>83</v>
      </c>
      <c r="D180" s="3">
        <v>45336</v>
      </c>
      <c r="E180" s="3">
        <v>45336</v>
      </c>
      <c r="F180" s="2" t="s">
        <v>58</v>
      </c>
      <c r="G180" s="2" t="s">
        <v>119</v>
      </c>
      <c r="H180" t="str">
        <f>"PH"&amp;MID(G180,IFERROR(FIND("PH-",G180)+3,IFERROR(FIND("ph-",G180)+3,IFERROR(FIND("PH",G180)+2,IFERROR(FIND("ph",G180)+2,0)))),3)</f>
        <v>PHBKC</v>
      </c>
      <c r="I180" t="str">
        <f>H180&amp;"_"&amp;E180</f>
        <v>PHBKC_45336</v>
      </c>
    </row>
    <row r="181" spans="1:9" x14ac:dyDescent="0.3">
      <c r="A181" s="2" t="s">
        <v>56</v>
      </c>
      <c r="B181" s="2">
        <v>685</v>
      </c>
      <c r="C181" s="2" t="s">
        <v>146</v>
      </c>
      <c r="D181" s="3">
        <v>45336</v>
      </c>
      <c r="E181" s="3">
        <v>45336</v>
      </c>
      <c r="F181" s="2" t="s">
        <v>58</v>
      </c>
      <c r="G181" s="2" t="s">
        <v>123</v>
      </c>
      <c r="H181" t="str">
        <f>"PH"&amp;MID(G181,IFERROR(FIND("PH-",G181)+3,IFERROR(FIND("ph-",G181)+3,IFERROR(FIND("PH",G181)+2,IFERROR(FIND("ph",G181)+2,0)))),3)</f>
        <v>PHBHA</v>
      </c>
      <c r="I181" t="str">
        <f>H181&amp;"_"&amp;E181</f>
        <v>PHBHA_45336</v>
      </c>
    </row>
    <row r="182" spans="1:9" x14ac:dyDescent="0.3">
      <c r="A182" s="2" t="s">
        <v>56</v>
      </c>
      <c r="B182" s="2">
        <v>681</v>
      </c>
      <c r="C182" s="2" t="s">
        <v>144</v>
      </c>
      <c r="D182" s="3">
        <v>45336</v>
      </c>
      <c r="E182" s="3">
        <v>45336</v>
      </c>
      <c r="F182" s="2" t="s">
        <v>58</v>
      </c>
      <c r="G182" s="2" t="s">
        <v>163</v>
      </c>
      <c r="H182" t="str">
        <f>"PH"&amp;MID(G182,IFERROR(FIND("PH-",G182)+3,IFERROR(FIND("ph-",G182)+3,IFERROR(FIND("PH",G182)+2,IFERROR(FIND("ph",G182)+2,0)))),3)</f>
        <v>PHAOB</v>
      </c>
      <c r="I182" t="str">
        <f>H182&amp;"_"&amp;E182</f>
        <v>PHAOB_45336</v>
      </c>
    </row>
    <row r="183" spans="1:9" x14ac:dyDescent="0.3">
      <c r="A183" s="2" t="s">
        <v>56</v>
      </c>
      <c r="B183" s="2">
        <v>877</v>
      </c>
      <c r="C183" s="2" t="s">
        <v>206</v>
      </c>
      <c r="D183" s="3">
        <v>45336</v>
      </c>
      <c r="E183" s="3">
        <v>45336</v>
      </c>
      <c r="F183" s="2" t="s">
        <v>58</v>
      </c>
      <c r="G183" s="2" t="s">
        <v>263</v>
      </c>
      <c r="H183" t="str">
        <f>"PH"&amp;MID(G183,IFERROR(FIND("PH-",G183)+3,IFERROR(FIND("ph-",G183)+3,IFERROR(FIND("PH",G183)+2,IFERROR(FIND("ph",G183)+2,0)))),3)</f>
        <v>PHBKG</v>
      </c>
      <c r="I183" t="str">
        <f>H183&amp;"_"&amp;E183</f>
        <v>PHBKG_45336</v>
      </c>
    </row>
    <row r="184" spans="1:9" x14ac:dyDescent="0.3">
      <c r="A184" s="2" t="s">
        <v>56</v>
      </c>
      <c r="B184" s="2">
        <v>635</v>
      </c>
      <c r="C184" s="2" t="s">
        <v>91</v>
      </c>
      <c r="D184" s="3">
        <v>45337</v>
      </c>
      <c r="E184" s="3">
        <v>45337</v>
      </c>
      <c r="F184" s="2" t="s">
        <v>58</v>
      </c>
      <c r="G184" s="2" t="s">
        <v>93</v>
      </c>
      <c r="H184" t="str">
        <f>"PH"&amp;MID(G184,IFERROR(FIND("PH-",G184)+3,IFERROR(FIND("ph-",G184)+3,IFERROR(FIND("PH",G184)+2,IFERROR(FIND("ph",G184)+2,0)))),3)</f>
        <v>PHBHM</v>
      </c>
      <c r="I184" t="str">
        <f>H184&amp;"_"&amp;E184</f>
        <v>PHBHM_45337</v>
      </c>
    </row>
    <row r="185" spans="1:9" x14ac:dyDescent="0.3">
      <c r="A185" s="2" t="s">
        <v>56</v>
      </c>
      <c r="B185" s="2">
        <v>621</v>
      </c>
      <c r="C185" s="2" t="s">
        <v>83</v>
      </c>
      <c r="D185" s="3">
        <v>45337</v>
      </c>
      <c r="E185" s="3">
        <v>45337</v>
      </c>
      <c r="F185" s="2" t="s">
        <v>58</v>
      </c>
      <c r="G185" s="2" t="s">
        <v>85</v>
      </c>
      <c r="H185" t="str">
        <f>"PH"&amp;MID(G185,IFERROR(FIND("PH-",G185)+3,IFERROR(FIND("ph-",G185)+3,IFERROR(FIND("PH",G185)+2,IFERROR(FIND("ph",G185)+2,0)))),3)</f>
        <v>PHBKC</v>
      </c>
      <c r="I185" t="str">
        <f>H185&amp;"_"&amp;E185</f>
        <v>PHBKC_45337</v>
      </c>
    </row>
    <row r="186" spans="1:9" x14ac:dyDescent="0.3">
      <c r="A186" s="2" t="s">
        <v>56</v>
      </c>
      <c r="B186" s="2">
        <v>689</v>
      </c>
      <c r="C186" s="2" t="s">
        <v>149</v>
      </c>
      <c r="D186" s="3">
        <v>45337</v>
      </c>
      <c r="E186" s="3">
        <v>45337</v>
      </c>
      <c r="F186" s="2" t="s">
        <v>58</v>
      </c>
      <c r="G186" s="2" t="s">
        <v>237</v>
      </c>
      <c r="H186" t="str">
        <f>"PH"&amp;MID(G186,IFERROR(FIND("PH-",G186)+3,IFERROR(FIND("ph-",G186)+3,IFERROR(FIND("PH",G186)+2,IFERROR(FIND("ph",G186)+2,0)))),3)</f>
        <v>PHBHA</v>
      </c>
      <c r="I186" t="str">
        <f>H186&amp;"_"&amp;E186</f>
        <v>PHBHA_45337</v>
      </c>
    </row>
    <row r="187" spans="1:9" x14ac:dyDescent="0.3">
      <c r="A187" s="2" t="s">
        <v>56</v>
      </c>
      <c r="B187" s="2">
        <v>867</v>
      </c>
      <c r="C187" s="2" t="s">
        <v>202</v>
      </c>
      <c r="D187" s="3">
        <v>45338</v>
      </c>
      <c r="E187" s="3">
        <v>45338</v>
      </c>
      <c r="F187" s="2" t="s">
        <v>58</v>
      </c>
      <c r="G187" s="2" t="s">
        <v>93</v>
      </c>
      <c r="H187" t="str">
        <f>"PH"&amp;MID(G187,IFERROR(FIND("PH-",G187)+3,IFERROR(FIND("ph-",G187)+3,IFERROR(FIND("PH",G187)+2,IFERROR(FIND("ph",G187)+2,0)))),3)</f>
        <v>PHBHM</v>
      </c>
      <c r="I187" t="str">
        <f>H187&amp;"_"&amp;E187</f>
        <v>PHBHM_45338</v>
      </c>
    </row>
    <row r="188" spans="1:9" x14ac:dyDescent="0.3">
      <c r="A188" s="2" t="s">
        <v>56</v>
      </c>
      <c r="B188" s="2">
        <v>621</v>
      </c>
      <c r="C188" s="2" t="s">
        <v>83</v>
      </c>
      <c r="D188" s="3">
        <v>45338</v>
      </c>
      <c r="E188" s="3">
        <v>45338</v>
      </c>
      <c r="F188" s="2" t="s">
        <v>58</v>
      </c>
      <c r="G188" s="2" t="s">
        <v>85</v>
      </c>
      <c r="H188" t="str">
        <f>"PH"&amp;MID(G188,IFERROR(FIND("PH-",G188)+3,IFERROR(FIND("ph-",G188)+3,IFERROR(FIND("PH",G188)+2,IFERROR(FIND("ph",G188)+2,0)))),3)</f>
        <v>PHBKC</v>
      </c>
      <c r="I188" t="str">
        <f>H188&amp;"_"&amp;E188</f>
        <v>PHBKC_45338</v>
      </c>
    </row>
    <row r="189" spans="1:9" x14ac:dyDescent="0.3">
      <c r="A189" s="2" t="s">
        <v>56</v>
      </c>
      <c r="B189" s="2">
        <v>617</v>
      </c>
      <c r="C189" s="2" t="s">
        <v>82</v>
      </c>
      <c r="D189" s="3">
        <v>45338</v>
      </c>
      <c r="E189" s="3">
        <v>45338</v>
      </c>
      <c r="F189" s="2" t="s">
        <v>58</v>
      </c>
      <c r="G189" s="2" t="s">
        <v>93</v>
      </c>
      <c r="H189" t="str">
        <f>"PH"&amp;MID(G189,IFERROR(FIND("PH-",G189)+3,IFERROR(FIND("ph-",G189)+3,IFERROR(FIND("PH",G189)+2,IFERROR(FIND("ph",G189)+2,0)))),3)</f>
        <v>PHBHM</v>
      </c>
      <c r="I189" t="str">
        <f>H189&amp;"_"&amp;E189</f>
        <v>PHBHM_45338</v>
      </c>
    </row>
    <row r="190" spans="1:9" x14ac:dyDescent="0.3">
      <c r="A190" s="2" t="s">
        <v>56</v>
      </c>
      <c r="B190" s="2">
        <v>671</v>
      </c>
      <c r="C190" s="2" t="s">
        <v>136</v>
      </c>
      <c r="D190" s="3">
        <v>45338</v>
      </c>
      <c r="E190" s="3">
        <v>45338</v>
      </c>
      <c r="F190" s="2" t="s">
        <v>58</v>
      </c>
      <c r="G190" s="2" t="s">
        <v>90</v>
      </c>
      <c r="H190" t="str">
        <f>"PH"&amp;MID(G190,IFERROR(FIND("PH-",G190)+3,IFERROR(FIND("ph-",G190)+3,IFERROR(FIND("PH",G190)+2,IFERROR(FIND("ph",G190)+2,0)))),3)</f>
        <v>PHAOB</v>
      </c>
      <c r="I190" t="str">
        <f>H190&amp;"_"&amp;E190</f>
        <v>PHAOB_45338</v>
      </c>
    </row>
    <row r="191" spans="1:9" x14ac:dyDescent="0.3">
      <c r="A191" s="2" t="s">
        <v>56</v>
      </c>
      <c r="B191" s="2">
        <v>701</v>
      </c>
      <c r="C191" s="2" t="s">
        <v>173</v>
      </c>
      <c r="D191" s="3">
        <v>45338</v>
      </c>
      <c r="E191" s="3">
        <v>45338</v>
      </c>
      <c r="F191" s="2" t="s">
        <v>58</v>
      </c>
      <c r="G191" s="2" t="s">
        <v>123</v>
      </c>
      <c r="H191" t="str">
        <f>"PH"&amp;MID(G191,IFERROR(FIND("PH-",G191)+3,IFERROR(FIND("ph-",G191)+3,IFERROR(FIND("PH",G191)+2,IFERROR(FIND("ph",G191)+2,0)))),3)</f>
        <v>PHBHA</v>
      </c>
      <c r="I191" t="str">
        <f>H191&amp;"_"&amp;E191</f>
        <v>PHBHA_45338</v>
      </c>
    </row>
    <row r="192" spans="1:9" x14ac:dyDescent="0.3">
      <c r="A192" s="2" t="s">
        <v>56</v>
      </c>
      <c r="B192" s="2">
        <v>741</v>
      </c>
      <c r="C192" s="2" t="s">
        <v>184</v>
      </c>
      <c r="D192" s="3">
        <v>45338</v>
      </c>
      <c r="E192" s="3">
        <v>45338</v>
      </c>
      <c r="F192" s="2" t="s">
        <v>58</v>
      </c>
      <c r="G192" s="2" t="s">
        <v>71</v>
      </c>
      <c r="H192" t="str">
        <f>"PH"&amp;MID(G192,IFERROR(FIND("PH-",G192)+3,IFERROR(FIND("ph-",G192)+3,IFERROR(FIND("PH",G192)+2,IFERROR(FIND("ph",G192)+2,0)))),3)</f>
        <v>PHBKG</v>
      </c>
      <c r="I192" t="str">
        <f>H192&amp;"_"&amp;E192</f>
        <v>PHBKG_45338</v>
      </c>
    </row>
    <row r="193" spans="1:9" x14ac:dyDescent="0.3">
      <c r="A193" s="2" t="s">
        <v>56</v>
      </c>
      <c r="B193" s="2">
        <v>589</v>
      </c>
      <c r="C193" s="2" t="s">
        <v>74</v>
      </c>
      <c r="D193" s="3">
        <v>45339</v>
      </c>
      <c r="E193" s="3">
        <v>45339</v>
      </c>
      <c r="F193" s="2" t="s">
        <v>58</v>
      </c>
      <c r="G193" s="2" t="s">
        <v>75</v>
      </c>
      <c r="H193" t="str">
        <f>"PH"&amp;MID(G193,IFERROR(FIND("PH-",G193)+3,IFERROR(FIND("ph-",G193)+3,IFERROR(FIND("PH",G193)+2,IFERROR(FIND("ph",G193)+2,0)))),3)</f>
        <v>PHBVU</v>
      </c>
      <c r="I193" t="str">
        <f>H193&amp;"_"&amp;E193</f>
        <v>PHBVU_45339</v>
      </c>
    </row>
    <row r="194" spans="1:9" x14ac:dyDescent="0.3">
      <c r="A194" s="2" t="s">
        <v>56</v>
      </c>
      <c r="B194" s="2">
        <v>685</v>
      </c>
      <c r="C194" s="2" t="s">
        <v>146</v>
      </c>
      <c r="D194" s="3">
        <v>45339</v>
      </c>
      <c r="E194" s="3">
        <v>45339</v>
      </c>
      <c r="F194" s="2" t="s">
        <v>58</v>
      </c>
      <c r="G194" s="2" t="s">
        <v>93</v>
      </c>
      <c r="H194" t="str">
        <f>"PH"&amp;MID(G194,IFERROR(FIND("PH-",G194)+3,IFERROR(FIND("ph-",G194)+3,IFERROR(FIND("PH",G194)+2,IFERROR(FIND("ph",G194)+2,0)))),3)</f>
        <v>PHBHM</v>
      </c>
      <c r="I194" t="str">
        <f>H194&amp;"_"&amp;E194</f>
        <v>PHBHM_45339</v>
      </c>
    </row>
    <row r="195" spans="1:9" x14ac:dyDescent="0.3">
      <c r="A195" s="2" t="s">
        <v>56</v>
      </c>
      <c r="B195" s="2">
        <v>705</v>
      </c>
      <c r="C195" s="2" t="s">
        <v>177</v>
      </c>
      <c r="D195" s="3">
        <v>45339</v>
      </c>
      <c r="E195" s="3">
        <v>45339</v>
      </c>
      <c r="F195" s="2" t="s">
        <v>58</v>
      </c>
      <c r="G195" s="2" t="s">
        <v>175</v>
      </c>
      <c r="H195" t="str">
        <f>"PH"&amp;MID(G195,IFERROR(FIND("PH-",G195)+3,IFERROR(FIND("ph-",G195)+3,IFERROR(FIND("PH",G195)+2,IFERROR(FIND("ph",G195)+2,0)))),3)</f>
        <v>PHBHE</v>
      </c>
      <c r="I195" t="str">
        <f>H195&amp;"_"&amp;E195</f>
        <v>PHBHE_45339</v>
      </c>
    </row>
    <row r="196" spans="1:9" x14ac:dyDescent="0.3">
      <c r="A196" s="2" t="s">
        <v>56</v>
      </c>
      <c r="B196" s="2">
        <v>895</v>
      </c>
      <c r="C196" s="2" t="s">
        <v>213</v>
      </c>
      <c r="D196" s="3">
        <v>45339</v>
      </c>
      <c r="E196" s="3">
        <v>45339</v>
      </c>
      <c r="F196" s="2" t="s">
        <v>58</v>
      </c>
      <c r="G196" s="2" t="s">
        <v>102</v>
      </c>
      <c r="H196" t="str">
        <f>"PH"&amp;MID(G196,IFERROR(FIND("PH-",G196)+3,IFERROR(FIND("ph-",G196)+3,IFERROR(FIND("PH",G196)+2,IFERROR(FIND("ph",G196)+2,0)))),3)</f>
        <v>PHBQD</v>
      </c>
      <c r="I196" t="str">
        <f>H196&amp;"_"&amp;E196</f>
        <v>PHBQD_45339</v>
      </c>
    </row>
    <row r="197" spans="1:9" x14ac:dyDescent="0.3">
      <c r="A197" s="2" t="s">
        <v>56</v>
      </c>
      <c r="B197" s="2">
        <v>601</v>
      </c>
      <c r="C197" s="2" t="s">
        <v>80</v>
      </c>
      <c r="D197" s="3">
        <v>45339</v>
      </c>
      <c r="E197" s="3">
        <v>45339</v>
      </c>
      <c r="F197" s="2" t="s">
        <v>58</v>
      </c>
      <c r="G197" s="2" t="s">
        <v>71</v>
      </c>
      <c r="H197" t="str">
        <f>"PH"&amp;MID(G197,IFERROR(FIND("PH-",G197)+3,IFERROR(FIND("ph-",G197)+3,IFERROR(FIND("PH",G197)+2,IFERROR(FIND("ph",G197)+2,0)))),3)</f>
        <v>PHBKG</v>
      </c>
      <c r="I197" t="str">
        <f>H197&amp;"_"&amp;E197</f>
        <v>PHBKG_45339</v>
      </c>
    </row>
    <row r="198" spans="1:9" x14ac:dyDescent="0.3">
      <c r="A198" s="2" t="s">
        <v>56</v>
      </c>
      <c r="B198" s="2">
        <v>735</v>
      </c>
      <c r="C198" s="2" t="s">
        <v>182</v>
      </c>
      <c r="D198" s="3">
        <v>45339</v>
      </c>
      <c r="E198" s="3">
        <v>45339</v>
      </c>
      <c r="F198" s="2" t="s">
        <v>58</v>
      </c>
      <c r="G198" s="2" t="s">
        <v>68</v>
      </c>
      <c r="H198" t="str">
        <f>"PH"&amp;MID(G198,IFERROR(FIND("PH-",G198)+3,IFERROR(FIND("ph-",G198)+3,IFERROR(FIND("PH",G198)+2,IFERROR(FIND("ph",G198)+2,0)))),3)</f>
        <v>PHBVO</v>
      </c>
      <c r="I198" t="str">
        <f>H198&amp;"_"&amp;E198</f>
        <v>PHBVO_45339</v>
      </c>
    </row>
    <row r="199" spans="1:9" x14ac:dyDescent="0.3">
      <c r="A199" s="2" t="s">
        <v>56</v>
      </c>
      <c r="B199" s="2">
        <v>661</v>
      </c>
      <c r="C199" s="2" t="s">
        <v>134</v>
      </c>
      <c r="D199" s="3">
        <v>45340</v>
      </c>
      <c r="E199" s="3">
        <v>45340</v>
      </c>
      <c r="F199" s="2" t="s">
        <v>58</v>
      </c>
      <c r="G199" s="2" t="s">
        <v>93</v>
      </c>
      <c r="H199" t="str">
        <f>"PH"&amp;MID(G199,IFERROR(FIND("PH-",G199)+3,IFERROR(FIND("ph-",G199)+3,IFERROR(FIND("PH",G199)+2,IFERROR(FIND("ph",G199)+2,0)))),3)</f>
        <v>PHBHM</v>
      </c>
      <c r="I199" t="str">
        <f>H199&amp;"_"&amp;E199</f>
        <v>PHBHM_45340</v>
      </c>
    </row>
    <row r="200" spans="1:9" x14ac:dyDescent="0.3">
      <c r="A200" s="2" t="s">
        <v>56</v>
      </c>
      <c r="B200" s="2">
        <v>685</v>
      </c>
      <c r="C200" s="2" t="s">
        <v>146</v>
      </c>
      <c r="D200" s="3">
        <v>45340</v>
      </c>
      <c r="E200" s="3">
        <v>45340</v>
      </c>
      <c r="F200" s="2" t="s">
        <v>58</v>
      </c>
      <c r="G200" s="2" t="s">
        <v>93</v>
      </c>
      <c r="H200" t="str">
        <f>"PH"&amp;MID(G200,IFERROR(FIND("PH-",G200)+3,IFERROR(FIND("ph-",G200)+3,IFERROR(FIND("PH",G200)+2,IFERROR(FIND("ph",G200)+2,0)))),3)</f>
        <v>PHBHM</v>
      </c>
      <c r="I200" t="str">
        <f>H200&amp;"_"&amp;E200</f>
        <v>PHBHM_45340</v>
      </c>
    </row>
    <row r="201" spans="1:9" x14ac:dyDescent="0.3">
      <c r="A201" s="2" t="s">
        <v>56</v>
      </c>
      <c r="B201" s="2">
        <v>713</v>
      </c>
      <c r="C201" s="2" t="s">
        <v>179</v>
      </c>
      <c r="D201" s="3">
        <v>45340</v>
      </c>
      <c r="E201" s="3">
        <v>45340</v>
      </c>
      <c r="F201" s="2" t="s">
        <v>58</v>
      </c>
      <c r="G201" s="2" t="s">
        <v>180</v>
      </c>
      <c r="H201" t="str">
        <f>"PH"&amp;MID(G201,IFERROR(FIND("PH-",G201)+3,IFERROR(FIND("ph-",G201)+3,IFERROR(FIND("PH",G201)+2,IFERROR(FIND("ph",G201)+2,0)))),3)</f>
        <v>PHBVU</v>
      </c>
      <c r="I201" t="str">
        <f>H201&amp;"_"&amp;E201</f>
        <v>PHBVU_45340</v>
      </c>
    </row>
    <row r="202" spans="1:9" x14ac:dyDescent="0.3">
      <c r="A202" s="2" t="s">
        <v>56</v>
      </c>
      <c r="B202" s="2">
        <v>735</v>
      </c>
      <c r="C202" s="2" t="s">
        <v>182</v>
      </c>
      <c r="D202" s="3">
        <v>45340</v>
      </c>
      <c r="E202" s="3">
        <v>45340</v>
      </c>
      <c r="F202" s="2" t="s">
        <v>58</v>
      </c>
      <c r="G202" s="2" t="s">
        <v>183</v>
      </c>
      <c r="H202" t="str">
        <f>"PH"&amp;MID(G202,IFERROR(FIND("PH-",G202)+3,IFERROR(FIND("ph-",G202)+3,IFERROR(FIND("PH",G202)+2,IFERROR(FIND("ph",G202)+2,0)))),3)</f>
        <v>PHBVO</v>
      </c>
      <c r="I202" t="str">
        <f>H202&amp;"_"&amp;E202</f>
        <v>PHBVO_45340</v>
      </c>
    </row>
    <row r="203" spans="1:9" x14ac:dyDescent="0.3">
      <c r="A203" s="2" t="s">
        <v>56</v>
      </c>
      <c r="B203" s="2">
        <v>601</v>
      </c>
      <c r="C203" s="2" t="s">
        <v>80</v>
      </c>
      <c r="D203" s="3">
        <v>45340</v>
      </c>
      <c r="E203" s="3">
        <v>45340</v>
      </c>
      <c r="F203" s="2" t="s">
        <v>58</v>
      </c>
      <c r="G203" s="2" t="s">
        <v>85</v>
      </c>
      <c r="H203" t="str">
        <f>"PH"&amp;MID(G203,IFERROR(FIND("PH-",G203)+3,IFERROR(FIND("ph-",G203)+3,IFERROR(FIND("PH",G203)+2,IFERROR(FIND("ph",G203)+2,0)))),3)</f>
        <v>PHBKC</v>
      </c>
      <c r="I203" t="str">
        <f>H203&amp;"_"&amp;E203</f>
        <v>PHBKC_45340</v>
      </c>
    </row>
    <row r="204" spans="1:9" x14ac:dyDescent="0.3">
      <c r="A204" s="2" t="s">
        <v>56</v>
      </c>
      <c r="B204" s="2">
        <v>655</v>
      </c>
      <c r="C204" s="2" t="s">
        <v>131</v>
      </c>
      <c r="D204" s="3">
        <v>45340</v>
      </c>
      <c r="E204" s="3">
        <v>45340</v>
      </c>
      <c r="F204" s="2" t="s">
        <v>58</v>
      </c>
      <c r="G204" s="2" t="s">
        <v>234</v>
      </c>
      <c r="H204" t="str">
        <f>"PH"&amp;MID(G204,IFERROR(FIND("PH-",G204)+3,IFERROR(FIND("ph-",G204)+3,IFERROR(FIND("PH",G204)+2,IFERROR(FIND("ph",G204)+2,0)))),3)</f>
        <v>PHAOB</v>
      </c>
      <c r="I204" t="str">
        <f>H204&amp;"_"&amp;E204</f>
        <v>PHAOB_45340</v>
      </c>
    </row>
    <row r="205" spans="1:9" x14ac:dyDescent="0.3">
      <c r="A205" s="2" t="s">
        <v>56</v>
      </c>
      <c r="B205" s="2">
        <v>897</v>
      </c>
      <c r="C205" s="2" t="s">
        <v>214</v>
      </c>
      <c r="D205" s="3">
        <v>45340</v>
      </c>
      <c r="E205" s="3">
        <v>45340</v>
      </c>
      <c r="F205" s="2" t="s">
        <v>58</v>
      </c>
      <c r="G205" s="2" t="s">
        <v>268</v>
      </c>
      <c r="H205" t="str">
        <f>"PH"&amp;MID(G205,IFERROR(FIND("PH-",G205)+3,IFERROR(FIND("ph-",G205)+3,IFERROR(FIND("PH",G205)+2,IFERROR(FIND("ph",G205)+2,0)))),3)</f>
        <v>PHBHE</v>
      </c>
      <c r="I205" t="str">
        <f>H205&amp;"_"&amp;E205</f>
        <v>PHBHE_45340</v>
      </c>
    </row>
    <row r="206" spans="1:9" x14ac:dyDescent="0.3">
      <c r="A206" s="2" t="s">
        <v>56</v>
      </c>
      <c r="B206" s="2">
        <v>623</v>
      </c>
      <c r="C206" s="2" t="s">
        <v>86</v>
      </c>
      <c r="D206" s="3">
        <v>45341</v>
      </c>
      <c r="E206" s="3">
        <v>45341</v>
      </c>
      <c r="F206" s="2" t="s">
        <v>58</v>
      </c>
      <c r="G206" s="2" t="s">
        <v>87</v>
      </c>
      <c r="H206" t="str">
        <f>"PH"&amp;MID(G206,IFERROR(FIND("PH-",G206)+3,IFERROR(FIND("ph-",G206)+3,IFERROR(FIND("PH",G206)+2,IFERROR(FIND("ph",G206)+2,0)))),3)</f>
        <v>PHAKA</v>
      </c>
      <c r="I206" t="str">
        <f>H206&amp;"_"&amp;E206</f>
        <v>PHAKA_45341</v>
      </c>
    </row>
    <row r="207" spans="1:9" x14ac:dyDescent="0.3">
      <c r="A207" s="2" t="s">
        <v>56</v>
      </c>
      <c r="B207" s="2">
        <v>681</v>
      </c>
      <c r="C207" s="2" t="s">
        <v>144</v>
      </c>
      <c r="D207" s="3">
        <v>45341</v>
      </c>
      <c r="E207" s="3">
        <v>45341</v>
      </c>
      <c r="F207" s="2" t="s">
        <v>58</v>
      </c>
      <c r="G207" s="2" t="s">
        <v>162</v>
      </c>
      <c r="H207" t="str">
        <f>"PH"&amp;MID(G207,IFERROR(FIND("PH-",G207)+3,IFERROR(FIND("ph-",G207)+3,IFERROR(FIND("PH",G207)+2,IFERROR(FIND("ph",G207)+2,0)))),3)</f>
        <v>PHAOB</v>
      </c>
      <c r="I207" t="str">
        <f>H207&amp;"_"&amp;E207</f>
        <v>PHAOB_45341</v>
      </c>
    </row>
    <row r="208" spans="1:9" x14ac:dyDescent="0.3">
      <c r="A208" s="2" t="s">
        <v>56</v>
      </c>
      <c r="B208" s="2">
        <v>565</v>
      </c>
      <c r="C208" s="2" t="s">
        <v>66</v>
      </c>
      <c r="D208" s="3">
        <v>45341</v>
      </c>
      <c r="E208" s="3">
        <v>45341</v>
      </c>
      <c r="F208" s="2" t="s">
        <v>58</v>
      </c>
      <c r="G208" s="2" t="s">
        <v>68</v>
      </c>
      <c r="H208" t="str">
        <f>"PH"&amp;MID(G208,IFERROR(FIND("PH-",G208)+3,IFERROR(FIND("ph-",G208)+3,IFERROR(FIND("PH",G208)+2,IFERROR(FIND("ph",G208)+2,0)))),3)</f>
        <v>PHBVO</v>
      </c>
      <c r="I208" t="str">
        <f>H208&amp;"_"&amp;E208</f>
        <v>PHBVO_45341</v>
      </c>
    </row>
    <row r="209" spans="1:9" x14ac:dyDescent="0.3">
      <c r="A209" s="2" t="s">
        <v>56</v>
      </c>
      <c r="B209" s="2">
        <v>671</v>
      </c>
      <c r="C209" s="2" t="s">
        <v>136</v>
      </c>
      <c r="D209" s="3">
        <v>45341</v>
      </c>
      <c r="E209" s="3">
        <v>45341</v>
      </c>
      <c r="F209" s="2" t="s">
        <v>58</v>
      </c>
      <c r="G209" s="2" t="s">
        <v>243</v>
      </c>
      <c r="H209" t="str">
        <f>"PH"&amp;MID(G209,IFERROR(FIND("PH-",G209)+3,IFERROR(FIND("ph-",G209)+3,IFERROR(FIND("PH",G209)+2,IFERROR(FIND("ph",G209)+2,0)))),3)</f>
        <v>PHAOB</v>
      </c>
      <c r="I209" t="str">
        <f>H209&amp;"_"&amp;E209</f>
        <v>PHAOB_45341</v>
      </c>
    </row>
    <row r="210" spans="1:9" x14ac:dyDescent="0.3">
      <c r="A210" s="2" t="s">
        <v>56</v>
      </c>
      <c r="B210" s="2">
        <v>701</v>
      </c>
      <c r="C210" s="2" t="s">
        <v>173</v>
      </c>
      <c r="D210" s="3">
        <v>45341</v>
      </c>
      <c r="E210" s="3">
        <v>45341</v>
      </c>
      <c r="F210" s="2" t="s">
        <v>58</v>
      </c>
      <c r="G210" s="2" t="s">
        <v>93</v>
      </c>
      <c r="H210" t="str">
        <f>"PH"&amp;MID(G210,IFERROR(FIND("PH-",G210)+3,IFERROR(FIND("ph-",G210)+3,IFERROR(FIND("PH",G210)+2,IFERROR(FIND("ph",G210)+2,0)))),3)</f>
        <v>PHBHM</v>
      </c>
      <c r="I210" t="str">
        <f>H210&amp;"_"&amp;E210</f>
        <v>PHBHM_45341</v>
      </c>
    </row>
    <row r="211" spans="1:9" x14ac:dyDescent="0.3">
      <c r="A211" s="2" t="s">
        <v>56</v>
      </c>
      <c r="B211" s="2">
        <v>757</v>
      </c>
      <c r="C211" s="2" t="s">
        <v>189</v>
      </c>
      <c r="D211" s="3">
        <v>45341</v>
      </c>
      <c r="E211" s="3">
        <v>45341</v>
      </c>
      <c r="F211" s="2" t="s">
        <v>58</v>
      </c>
      <c r="G211" s="2" t="s">
        <v>85</v>
      </c>
      <c r="H211" t="str">
        <f>"PH"&amp;MID(G211,IFERROR(FIND("PH-",G211)+3,IFERROR(FIND("ph-",G211)+3,IFERROR(FIND("PH",G211)+2,IFERROR(FIND("ph",G211)+2,0)))),3)</f>
        <v>PHBKC</v>
      </c>
      <c r="I211" t="str">
        <f>H211&amp;"_"&amp;E211</f>
        <v>PHBKC_45341</v>
      </c>
    </row>
    <row r="212" spans="1:9" x14ac:dyDescent="0.3">
      <c r="A212" s="2" t="s">
        <v>56</v>
      </c>
      <c r="B212" s="2">
        <v>879</v>
      </c>
      <c r="C212" s="2" t="s">
        <v>208</v>
      </c>
      <c r="D212" s="3">
        <v>45341</v>
      </c>
      <c r="E212" s="3">
        <v>45341</v>
      </c>
      <c r="F212" s="2" t="s">
        <v>58</v>
      </c>
      <c r="G212" s="2" t="s">
        <v>286</v>
      </c>
      <c r="H212" t="str">
        <f>"PH"&amp;MID(G212,IFERROR(FIND("PH-",G212)+3,IFERROR(FIND("ph-",G212)+3,IFERROR(FIND("PH",G212)+2,IFERROR(FIND("ph",G212)+2,0)))),3)</f>
        <v>PHBHM</v>
      </c>
      <c r="I212" t="str">
        <f>H212&amp;"_"&amp;E212</f>
        <v>PHBHM_45341</v>
      </c>
    </row>
    <row r="213" spans="1:9" x14ac:dyDescent="0.3">
      <c r="A213" s="2" t="s">
        <v>56</v>
      </c>
      <c r="B213" s="2">
        <v>701</v>
      </c>
      <c r="C213" s="2" t="s">
        <v>173</v>
      </c>
      <c r="D213" s="3">
        <v>45342</v>
      </c>
      <c r="E213" s="3">
        <v>45342</v>
      </c>
      <c r="F213" s="2" t="s">
        <v>58</v>
      </c>
      <c r="G213" s="2" t="s">
        <v>175</v>
      </c>
      <c r="H213" t="str">
        <f>"PH"&amp;MID(G213,IFERROR(FIND("PH-",G213)+3,IFERROR(FIND("ph-",G213)+3,IFERROR(FIND("PH",G213)+2,IFERROR(FIND("ph",G213)+2,0)))),3)</f>
        <v>PHBHE</v>
      </c>
      <c r="I213" t="str">
        <f>H213&amp;"_"&amp;E213</f>
        <v>PHBHE_45342</v>
      </c>
    </row>
    <row r="214" spans="1:9" x14ac:dyDescent="0.3">
      <c r="A214" s="2" t="s">
        <v>56</v>
      </c>
      <c r="B214" s="2">
        <v>589</v>
      </c>
      <c r="C214" s="2" t="s">
        <v>74</v>
      </c>
      <c r="D214" s="3">
        <v>45342</v>
      </c>
      <c r="E214" s="3">
        <v>45342</v>
      </c>
      <c r="F214" s="2" t="s">
        <v>58</v>
      </c>
      <c r="G214" s="2" t="s">
        <v>75</v>
      </c>
      <c r="H214" t="str">
        <f>"PH"&amp;MID(G214,IFERROR(FIND("PH-",G214)+3,IFERROR(FIND("ph-",G214)+3,IFERROR(FIND("PH",G214)+2,IFERROR(FIND("ph",G214)+2,0)))),3)</f>
        <v>PHBVU</v>
      </c>
      <c r="I214" t="str">
        <f>H214&amp;"_"&amp;E214</f>
        <v>PHBVU_45342</v>
      </c>
    </row>
    <row r="215" spans="1:9" x14ac:dyDescent="0.3">
      <c r="A215" s="2" t="s">
        <v>56</v>
      </c>
      <c r="B215" s="2">
        <v>675</v>
      </c>
      <c r="C215" s="2" t="s">
        <v>138</v>
      </c>
      <c r="D215" s="3">
        <v>45342</v>
      </c>
      <c r="E215" s="3">
        <v>45342</v>
      </c>
      <c r="F215" s="2" t="s">
        <v>58</v>
      </c>
      <c r="G215" s="2" t="s">
        <v>111</v>
      </c>
      <c r="H215" t="str">
        <f>"PH"&amp;MID(G215,IFERROR(FIND("PH-",G215)+3,IFERROR(FIND("ph-",G215)+3,IFERROR(FIND("PH",G215)+2,IFERROR(FIND("ph",G215)+2,0)))),3)</f>
        <v>PHBVO</v>
      </c>
      <c r="I215" t="str">
        <f>H215&amp;"_"&amp;E215</f>
        <v>PHBVO_45342</v>
      </c>
    </row>
    <row r="216" spans="1:9" x14ac:dyDescent="0.3">
      <c r="A216" s="2" t="s">
        <v>56</v>
      </c>
      <c r="B216" s="2">
        <v>733</v>
      </c>
      <c r="C216" s="2" t="s">
        <v>245</v>
      </c>
      <c r="D216" s="3">
        <v>45342</v>
      </c>
      <c r="E216" s="3">
        <v>45342</v>
      </c>
      <c r="F216" s="2" t="s">
        <v>58</v>
      </c>
      <c r="G216" s="2" t="s">
        <v>102</v>
      </c>
      <c r="H216" t="str">
        <f>"PH"&amp;MID(G216,IFERROR(FIND("PH-",G216)+3,IFERROR(FIND("ph-",G216)+3,IFERROR(FIND("PH",G216)+2,IFERROR(FIND("ph",G216)+2,0)))),3)</f>
        <v>PHBQD</v>
      </c>
      <c r="I216" t="str">
        <f>H216&amp;"_"&amp;E216</f>
        <v>PHBQD_45342</v>
      </c>
    </row>
    <row r="217" spans="1:9" x14ac:dyDescent="0.3">
      <c r="A217" s="2" t="s">
        <v>56</v>
      </c>
      <c r="B217" s="2">
        <v>589</v>
      </c>
      <c r="C217" s="2" t="s">
        <v>74</v>
      </c>
      <c r="D217" s="3">
        <v>45343</v>
      </c>
      <c r="E217" s="3">
        <v>45343</v>
      </c>
      <c r="F217" s="2" t="s">
        <v>58</v>
      </c>
      <c r="G217" s="2" t="s">
        <v>111</v>
      </c>
      <c r="H217" t="str">
        <f>"PH"&amp;MID(G217,IFERROR(FIND("PH-",G217)+3,IFERROR(FIND("ph-",G217)+3,IFERROR(FIND("PH",G217)+2,IFERROR(FIND("ph",G217)+2,0)))),3)</f>
        <v>PHBVO</v>
      </c>
      <c r="I217" t="str">
        <f>H217&amp;"_"&amp;E217</f>
        <v>PHBVO_45343</v>
      </c>
    </row>
    <row r="218" spans="1:9" x14ac:dyDescent="0.3">
      <c r="A218" s="2" t="s">
        <v>56</v>
      </c>
      <c r="B218" s="2">
        <v>655</v>
      </c>
      <c r="C218" s="2" t="s">
        <v>131</v>
      </c>
      <c r="D218" s="3">
        <v>45343</v>
      </c>
      <c r="E218" s="3">
        <v>45343</v>
      </c>
      <c r="F218" s="2" t="s">
        <v>58</v>
      </c>
      <c r="G218" s="2" t="s">
        <v>90</v>
      </c>
      <c r="H218" t="str">
        <f>"PH"&amp;MID(G218,IFERROR(FIND("PH-",G218)+3,IFERROR(FIND("ph-",G218)+3,IFERROR(FIND("PH",G218)+2,IFERROR(FIND("ph",G218)+2,0)))),3)</f>
        <v>PHAOB</v>
      </c>
      <c r="I218" t="str">
        <f>H218&amp;"_"&amp;E218</f>
        <v>PHAOB_45343</v>
      </c>
    </row>
    <row r="219" spans="1:9" x14ac:dyDescent="0.3">
      <c r="A219" s="2" t="s">
        <v>56</v>
      </c>
      <c r="B219" s="2">
        <v>875</v>
      </c>
      <c r="C219" s="2" t="s">
        <v>205</v>
      </c>
      <c r="D219" s="3">
        <v>45343</v>
      </c>
      <c r="E219" s="3">
        <v>45343</v>
      </c>
      <c r="F219" s="2" t="s">
        <v>58</v>
      </c>
      <c r="G219" s="2" t="s">
        <v>75</v>
      </c>
      <c r="H219" t="str">
        <f>"PH"&amp;MID(G219,IFERROR(FIND("PH-",G219)+3,IFERROR(FIND("ph-",G219)+3,IFERROR(FIND("PH",G219)+2,IFERROR(FIND("ph",G219)+2,0)))),3)</f>
        <v>PHBVU</v>
      </c>
      <c r="I219" t="str">
        <f>H219&amp;"_"&amp;E219</f>
        <v>PHBVU_45343</v>
      </c>
    </row>
    <row r="220" spans="1:9" x14ac:dyDescent="0.3">
      <c r="A220" s="2" t="s">
        <v>56</v>
      </c>
      <c r="B220" s="2">
        <v>611</v>
      </c>
      <c r="C220" s="2" t="s">
        <v>116</v>
      </c>
      <c r="D220" s="3">
        <v>45343</v>
      </c>
      <c r="E220" s="3">
        <v>45343</v>
      </c>
      <c r="F220" s="2" t="s">
        <v>58</v>
      </c>
      <c r="G220" s="2" t="s">
        <v>220</v>
      </c>
      <c r="H220" t="str">
        <f>"PH"&amp;MID(G220,IFERROR(FIND("PH-",G220)+3,IFERROR(FIND("ph-",G220)+3,IFERROR(FIND("PH",G220)+2,IFERROR(FIND("ph",G220)+2,0)))),3)</f>
        <v>PHBHE</v>
      </c>
      <c r="I220" t="str">
        <f>H220&amp;"_"&amp;E220</f>
        <v>PHBHE_45343</v>
      </c>
    </row>
    <row r="221" spans="1:9" x14ac:dyDescent="0.3">
      <c r="A221" s="2" t="s">
        <v>56</v>
      </c>
      <c r="B221" s="2">
        <v>855</v>
      </c>
      <c r="C221" s="2" t="s">
        <v>199</v>
      </c>
      <c r="D221" s="3">
        <v>45343</v>
      </c>
      <c r="E221" s="3">
        <v>45343</v>
      </c>
      <c r="F221" s="2" t="s">
        <v>58</v>
      </c>
      <c r="G221" s="2" t="s">
        <v>102</v>
      </c>
      <c r="H221" t="str">
        <f>"PH"&amp;MID(G221,IFERROR(FIND("PH-",G221)+3,IFERROR(FIND("ph-",G221)+3,IFERROR(FIND("PH",G221)+2,IFERROR(FIND("ph",G221)+2,0)))),3)</f>
        <v>PHBQD</v>
      </c>
      <c r="I221" t="str">
        <f>H221&amp;"_"&amp;E221</f>
        <v>PHBQD_45343</v>
      </c>
    </row>
    <row r="222" spans="1:9" x14ac:dyDescent="0.3">
      <c r="A222" s="2" t="s">
        <v>56</v>
      </c>
      <c r="B222" s="2">
        <v>641</v>
      </c>
      <c r="C222" s="2" t="s">
        <v>96</v>
      </c>
      <c r="D222" s="3">
        <v>45344</v>
      </c>
      <c r="E222" s="3">
        <v>45344</v>
      </c>
      <c r="F222" s="2" t="s">
        <v>58</v>
      </c>
      <c r="G222" s="2" t="s">
        <v>97</v>
      </c>
      <c r="H222" t="str">
        <f>"PH"&amp;MID(G222,IFERROR(FIND("PH-",G222)+3,IFERROR(FIND("ph-",G222)+3,IFERROR(FIND("PH",G222)+2,IFERROR(FIND("ph",G222)+2,0)))),3)</f>
        <v>PHBHC</v>
      </c>
      <c r="I222" t="str">
        <f>H222&amp;"_"&amp;E222</f>
        <v>PHBHC_45344</v>
      </c>
    </row>
    <row r="223" spans="1:9" x14ac:dyDescent="0.3">
      <c r="A223" s="2" t="s">
        <v>56</v>
      </c>
      <c r="B223" s="2">
        <v>425</v>
      </c>
      <c r="C223" s="2" t="s">
        <v>62</v>
      </c>
      <c r="D223" s="3">
        <v>45344</v>
      </c>
      <c r="E223" s="3">
        <v>45344</v>
      </c>
      <c r="F223" s="2" t="s">
        <v>58</v>
      </c>
      <c r="G223" s="2" t="s">
        <v>90</v>
      </c>
      <c r="H223" t="str">
        <f>"PH"&amp;MID(G223,IFERROR(FIND("PH-",G223)+3,IFERROR(FIND("ph-",G223)+3,IFERROR(FIND("PH",G223)+2,IFERROR(FIND("ph",G223)+2,0)))),3)</f>
        <v>PHAOB</v>
      </c>
      <c r="I223" t="str">
        <f>H223&amp;"_"&amp;E223</f>
        <v>PHAOB_45344</v>
      </c>
    </row>
    <row r="224" spans="1:9" x14ac:dyDescent="0.3">
      <c r="A224" s="2" t="s">
        <v>56</v>
      </c>
      <c r="B224" s="2">
        <v>685</v>
      </c>
      <c r="C224" s="2" t="s">
        <v>146</v>
      </c>
      <c r="D224" s="3">
        <v>45344</v>
      </c>
      <c r="E224" s="3">
        <v>45344</v>
      </c>
      <c r="F224" s="2" t="s">
        <v>58</v>
      </c>
      <c r="G224" s="2" t="s">
        <v>147</v>
      </c>
      <c r="H224" t="str">
        <f>"PH"&amp;MID(G224,IFERROR(FIND("PH-",G224)+3,IFERROR(FIND("ph-",G224)+3,IFERROR(FIND("PH",G224)+2,IFERROR(FIND("ph",G224)+2,0)))),3)</f>
        <v>PHBHM</v>
      </c>
      <c r="I224" t="str">
        <f>H224&amp;"_"&amp;E224</f>
        <v>PHBHM_45344</v>
      </c>
    </row>
    <row r="225" spans="1:9" x14ac:dyDescent="0.3">
      <c r="A225" s="2" t="s">
        <v>56</v>
      </c>
      <c r="B225" s="2">
        <v>691</v>
      </c>
      <c r="C225" s="2" t="s">
        <v>150</v>
      </c>
      <c r="D225" s="3">
        <v>45344</v>
      </c>
      <c r="E225" s="3">
        <v>45344</v>
      </c>
      <c r="F225" s="2" t="s">
        <v>58</v>
      </c>
      <c r="G225" s="2" t="s">
        <v>153</v>
      </c>
      <c r="H225" t="str">
        <f>"PH"&amp;MID(G225,IFERROR(FIND("PH-",G225)+3,IFERROR(FIND("ph-",G225)+3,IFERROR(FIND("PH",G225)+2,IFERROR(FIND("ph",G225)+2,0)))),3)</f>
        <v>PHBVO</v>
      </c>
      <c r="I225" t="str">
        <f>H225&amp;"_"&amp;E225</f>
        <v>PHBVO_45344</v>
      </c>
    </row>
    <row r="226" spans="1:9" x14ac:dyDescent="0.3">
      <c r="A226" s="2" t="s">
        <v>56</v>
      </c>
      <c r="B226" s="2">
        <v>587</v>
      </c>
      <c r="C226" s="2" t="s">
        <v>72</v>
      </c>
      <c r="D226" s="3">
        <v>45344</v>
      </c>
      <c r="E226" s="3">
        <v>45344</v>
      </c>
      <c r="F226" s="2" t="s">
        <v>58</v>
      </c>
      <c r="G226" s="2" t="s">
        <v>121</v>
      </c>
      <c r="H226" t="str">
        <f>"PH"&amp;MID(G226,IFERROR(FIND("PH-",G226)+3,IFERROR(FIND("ph-",G226)+3,IFERROR(FIND("PH",G226)+2,IFERROR(FIND("ph",G226)+2,0)))),3)</f>
        <v>PHAKA</v>
      </c>
      <c r="I226" t="str">
        <f>H226&amp;"_"&amp;E226</f>
        <v>PHAKA_45344</v>
      </c>
    </row>
    <row r="227" spans="1:9" x14ac:dyDescent="0.3">
      <c r="A227" s="2" t="s">
        <v>56</v>
      </c>
      <c r="B227" s="2">
        <v>667</v>
      </c>
      <c r="C227" s="2" t="s">
        <v>135</v>
      </c>
      <c r="D227" s="3">
        <v>45344</v>
      </c>
      <c r="E227" s="3">
        <v>45344</v>
      </c>
      <c r="F227" s="2" t="s">
        <v>58</v>
      </c>
      <c r="G227" s="2" t="s">
        <v>242</v>
      </c>
      <c r="H227" t="str">
        <f>"PH"&amp;MID(G227,IFERROR(FIND("PH-",G227)+3,IFERROR(FIND("ph-",G227)+3,IFERROR(FIND("PH",G227)+2,IFERROR(FIND("ph",G227)+2,0)))),3)</f>
        <v>PHBHE</v>
      </c>
      <c r="I227" t="str">
        <f>H227&amp;"_"&amp;E227</f>
        <v>PHBHE_45344</v>
      </c>
    </row>
    <row r="228" spans="1:9" x14ac:dyDescent="0.3">
      <c r="A228" s="2" t="s">
        <v>56</v>
      </c>
      <c r="B228" s="2">
        <v>835</v>
      </c>
      <c r="C228" s="2" t="s">
        <v>198</v>
      </c>
      <c r="D228" s="3">
        <v>45344</v>
      </c>
      <c r="E228" s="3">
        <v>45344</v>
      </c>
      <c r="F228" s="2" t="s">
        <v>58</v>
      </c>
      <c r="G228" s="2" t="s">
        <v>75</v>
      </c>
      <c r="H228" t="str">
        <f>"PH"&amp;MID(G228,IFERROR(FIND("PH-",G228)+3,IFERROR(FIND("ph-",G228)+3,IFERROR(FIND("PH",G228)+2,IFERROR(FIND("ph",G228)+2,0)))),3)</f>
        <v>PHBVU</v>
      </c>
      <c r="I228" t="str">
        <f>H228&amp;"_"&amp;E228</f>
        <v>PHBVU_45344</v>
      </c>
    </row>
    <row r="229" spans="1:9" x14ac:dyDescent="0.3">
      <c r="A229" s="2" t="s">
        <v>56</v>
      </c>
      <c r="B229" s="2">
        <v>757</v>
      </c>
      <c r="C229" s="2" t="s">
        <v>189</v>
      </c>
      <c r="D229" s="3">
        <v>45344</v>
      </c>
      <c r="E229" s="3">
        <v>45344</v>
      </c>
      <c r="F229" s="2" t="s">
        <v>58</v>
      </c>
      <c r="G229" s="2" t="s">
        <v>273</v>
      </c>
      <c r="H229" t="str">
        <f>"PH"&amp;MID(G229,IFERROR(FIND("PH-",G229)+3,IFERROR(FIND("ph-",G229)+3,IFERROR(FIND("PH",G229)+2,IFERROR(FIND("ph",G229)+2,0)))),3)</f>
        <v>PHBHM</v>
      </c>
      <c r="I229" t="str">
        <f>H229&amp;"_"&amp;E229</f>
        <v>PHBHM_45344</v>
      </c>
    </row>
    <row r="230" spans="1:9" x14ac:dyDescent="0.3">
      <c r="A230" s="2" t="s">
        <v>56</v>
      </c>
      <c r="B230" s="2">
        <v>765</v>
      </c>
      <c r="C230" s="2" t="s">
        <v>190</v>
      </c>
      <c r="D230" s="3">
        <v>45344</v>
      </c>
      <c r="E230" s="3">
        <v>45344</v>
      </c>
      <c r="F230" s="2" t="s">
        <v>58</v>
      </c>
      <c r="G230" s="2" t="s">
        <v>121</v>
      </c>
      <c r="H230" t="str">
        <f>"PH"&amp;MID(G230,IFERROR(FIND("PH-",G230)+3,IFERROR(FIND("ph-",G230)+3,IFERROR(FIND("PH",G230)+2,IFERROR(FIND("ph",G230)+2,0)))),3)</f>
        <v>PHAKA</v>
      </c>
      <c r="I230" t="str">
        <f>H230&amp;"_"&amp;E230</f>
        <v>PHAKA_45344</v>
      </c>
    </row>
    <row r="231" spans="1:9" x14ac:dyDescent="0.3">
      <c r="A231" s="2" t="s">
        <v>56</v>
      </c>
      <c r="B231" s="2">
        <v>627</v>
      </c>
      <c r="C231" s="2" t="s">
        <v>89</v>
      </c>
      <c r="D231" s="3">
        <v>45345</v>
      </c>
      <c r="E231" s="3">
        <v>45345</v>
      </c>
      <c r="F231" s="2" t="s">
        <v>58</v>
      </c>
      <c r="G231" s="2" t="s">
        <v>121</v>
      </c>
      <c r="H231" t="str">
        <f>"PH"&amp;MID(G231,IFERROR(FIND("PH-",G231)+3,IFERROR(FIND("ph-",G231)+3,IFERROR(FIND("PH",G231)+2,IFERROR(FIND("ph",G231)+2,0)))),3)</f>
        <v>PHAKA</v>
      </c>
      <c r="I231" t="str">
        <f>H231&amp;"_"&amp;E231</f>
        <v>PHAKA_45345</v>
      </c>
    </row>
    <row r="232" spans="1:9" x14ac:dyDescent="0.3">
      <c r="A232" s="2" t="s">
        <v>56</v>
      </c>
      <c r="B232" s="2">
        <v>423</v>
      </c>
      <c r="C232" s="2" t="s">
        <v>61</v>
      </c>
      <c r="D232" s="3">
        <v>45345</v>
      </c>
      <c r="E232" s="3">
        <v>45345</v>
      </c>
      <c r="F232" s="2" t="s">
        <v>58</v>
      </c>
      <c r="G232" s="2" t="s">
        <v>121</v>
      </c>
      <c r="H232" t="str">
        <f>"PH"&amp;MID(G232,IFERROR(FIND("PH-",G232)+3,IFERROR(FIND("ph-",G232)+3,IFERROR(FIND("PH",G232)+2,IFERROR(FIND("ph",G232)+2,0)))),3)</f>
        <v>PHAKA</v>
      </c>
      <c r="I232" t="str">
        <f>H232&amp;"_"&amp;E232</f>
        <v>PHAKA_45345</v>
      </c>
    </row>
    <row r="233" spans="1:9" x14ac:dyDescent="0.3">
      <c r="A233" s="2" t="s">
        <v>56</v>
      </c>
      <c r="B233" s="2">
        <v>691</v>
      </c>
      <c r="C233" s="2" t="s">
        <v>150</v>
      </c>
      <c r="D233" s="3">
        <v>45345</v>
      </c>
      <c r="E233" s="3">
        <v>45345</v>
      </c>
      <c r="F233" s="2" t="s">
        <v>58</v>
      </c>
      <c r="G233" s="2" t="s">
        <v>115</v>
      </c>
      <c r="H233" t="str">
        <f>"PH"&amp;MID(G233,IFERROR(FIND("PH-",G233)+3,IFERROR(FIND("ph-",G233)+3,IFERROR(FIND("PH",G233)+2,IFERROR(FIND("ph",G233)+2,0)))),3)</f>
        <v>PHBKC</v>
      </c>
      <c r="I233" t="str">
        <f>H233&amp;"_"&amp;E233</f>
        <v>PHBKC_45345</v>
      </c>
    </row>
    <row r="234" spans="1:9" x14ac:dyDescent="0.3">
      <c r="A234" s="2" t="s">
        <v>56</v>
      </c>
      <c r="B234" s="2">
        <v>741</v>
      </c>
      <c r="C234" s="2" t="s">
        <v>184</v>
      </c>
      <c r="D234" s="3">
        <v>45345</v>
      </c>
      <c r="E234" s="3">
        <v>45345</v>
      </c>
      <c r="F234" s="2" t="s">
        <v>58</v>
      </c>
      <c r="G234" s="2" t="s">
        <v>115</v>
      </c>
      <c r="H234" t="str">
        <f>"PH"&amp;MID(G234,IFERROR(FIND("PH-",G234)+3,IFERROR(FIND("ph-",G234)+3,IFERROR(FIND("PH",G234)+2,IFERROR(FIND("ph",G234)+2,0)))),3)</f>
        <v>PHBKC</v>
      </c>
      <c r="I234" t="str">
        <f>H234&amp;"_"&amp;E234</f>
        <v>PHBKC_45345</v>
      </c>
    </row>
    <row r="235" spans="1:9" x14ac:dyDescent="0.3">
      <c r="A235" s="2" t="s">
        <v>56</v>
      </c>
      <c r="B235" s="2">
        <v>879</v>
      </c>
      <c r="C235" s="2" t="s">
        <v>208</v>
      </c>
      <c r="D235" s="3">
        <v>45345</v>
      </c>
      <c r="E235" s="3">
        <v>45345</v>
      </c>
      <c r="F235" s="2" t="s">
        <v>58</v>
      </c>
      <c r="G235" s="2" t="s">
        <v>265</v>
      </c>
      <c r="H235" t="str">
        <f>"PH"&amp;MID(G235,IFERROR(FIND("PH-",G235)+3,IFERROR(FIND("ph-",G235)+3,IFERROR(FIND("PH",G235)+2,IFERROR(FIND("ph",G235)+2,0)))),3)</f>
        <v>PHBQD</v>
      </c>
      <c r="I235" t="str">
        <f>H235&amp;"_"&amp;E235</f>
        <v>PHBQD_45345</v>
      </c>
    </row>
    <row r="236" spans="1:9" x14ac:dyDescent="0.3">
      <c r="A236" s="2" t="s">
        <v>56</v>
      </c>
      <c r="B236" s="2">
        <v>867</v>
      </c>
      <c r="C236" s="2" t="s">
        <v>202</v>
      </c>
      <c r="D236" s="3">
        <v>45345</v>
      </c>
      <c r="E236" s="3">
        <v>45345</v>
      </c>
      <c r="F236" s="2" t="s">
        <v>58</v>
      </c>
      <c r="G236" s="2" t="s">
        <v>276</v>
      </c>
      <c r="H236" t="str">
        <f>"PH"&amp;MID(G236,IFERROR(FIND("PH-",G236)+3,IFERROR(FIND("ph-",G236)+3,IFERROR(FIND("PH",G236)+2,IFERROR(FIND("ph",G236)+2,0)))),3)</f>
        <v>PHBHM</v>
      </c>
      <c r="I236" t="str">
        <f>H236&amp;"_"&amp;E236</f>
        <v>PHBHM_45345</v>
      </c>
    </row>
    <row r="237" spans="1:9" x14ac:dyDescent="0.3">
      <c r="A237" s="2" t="s">
        <v>56</v>
      </c>
      <c r="B237" s="2">
        <v>791</v>
      </c>
      <c r="C237" s="2" t="s">
        <v>192</v>
      </c>
      <c r="D237" s="3">
        <v>45345</v>
      </c>
      <c r="E237" s="3">
        <v>45345</v>
      </c>
      <c r="F237" s="2" t="s">
        <v>58</v>
      </c>
      <c r="G237" s="2" t="s">
        <v>153</v>
      </c>
      <c r="H237" t="str">
        <f>"PH"&amp;MID(G237,IFERROR(FIND("PH-",G237)+3,IFERROR(FIND("ph-",G237)+3,IFERROR(FIND("PH",G237)+2,IFERROR(FIND("ph",G237)+2,0)))),3)</f>
        <v>PHBVO</v>
      </c>
      <c r="I237" t="str">
        <f>H237&amp;"_"&amp;E237</f>
        <v>PHBVO_45345</v>
      </c>
    </row>
    <row r="238" spans="1:9" x14ac:dyDescent="0.3">
      <c r="A238" s="2" t="s">
        <v>56</v>
      </c>
      <c r="B238" s="2">
        <v>623</v>
      </c>
      <c r="C238" s="2" t="s">
        <v>86</v>
      </c>
      <c r="D238" s="3">
        <v>45346</v>
      </c>
      <c r="E238" s="3">
        <v>45346</v>
      </c>
      <c r="F238" s="2" t="s">
        <v>58</v>
      </c>
      <c r="G238" s="2" t="s">
        <v>88</v>
      </c>
      <c r="H238" t="str">
        <f>"PH"&amp;MID(G238,IFERROR(FIND("PH-",G238)+3,IFERROR(FIND("ph-",G238)+3,IFERROR(FIND("PH",G238)+2,IFERROR(FIND("ph",G238)+2,0)))),3)</f>
        <v>PHAKA</v>
      </c>
      <c r="I238" t="str">
        <f>H238&amp;"_"&amp;E238</f>
        <v>PHAKA_45346</v>
      </c>
    </row>
    <row r="239" spans="1:9" x14ac:dyDescent="0.3">
      <c r="A239" s="2" t="s">
        <v>56</v>
      </c>
      <c r="B239" s="2">
        <v>605</v>
      </c>
      <c r="C239" s="2" t="s">
        <v>81</v>
      </c>
      <c r="D239" s="3">
        <v>45346</v>
      </c>
      <c r="E239" s="3">
        <v>45346</v>
      </c>
      <c r="F239" s="2" t="s">
        <v>58</v>
      </c>
      <c r="G239" s="2" t="s">
        <v>115</v>
      </c>
      <c r="H239" t="str">
        <f>"PH"&amp;MID(G239,IFERROR(FIND("PH-",G239)+3,IFERROR(FIND("ph-",G239)+3,IFERROR(FIND("PH",G239)+2,IFERROR(FIND("ph",G239)+2,0)))),3)</f>
        <v>PHBKC</v>
      </c>
      <c r="I239" t="str">
        <f>H239&amp;"_"&amp;E239</f>
        <v>PHBKC_45346</v>
      </c>
    </row>
    <row r="240" spans="1:9" x14ac:dyDescent="0.3">
      <c r="A240" s="2" t="s">
        <v>56</v>
      </c>
      <c r="B240" s="2">
        <v>589</v>
      </c>
      <c r="C240" s="2" t="s">
        <v>74</v>
      </c>
      <c r="D240" s="3">
        <v>45346</v>
      </c>
      <c r="E240" s="3">
        <v>45346</v>
      </c>
      <c r="F240" s="2" t="s">
        <v>58</v>
      </c>
      <c r="G240" s="2" t="s">
        <v>218</v>
      </c>
      <c r="H240" t="str">
        <f>"PH"&amp;MID(G240,IFERROR(FIND("PH-",G240)+3,IFERROR(FIND("ph-",G240)+3,IFERROR(FIND("PH",G240)+2,IFERROR(FIND("ph",G240)+2,0)))),3)</f>
        <v>PHBVV</v>
      </c>
      <c r="I240" t="str">
        <f>H240&amp;"_"&amp;E240</f>
        <v>PHBVV_45346</v>
      </c>
    </row>
    <row r="241" spans="1:9" x14ac:dyDescent="0.3">
      <c r="A241" s="2" t="s">
        <v>56</v>
      </c>
      <c r="B241" s="2">
        <v>735</v>
      </c>
      <c r="C241" s="2" t="s">
        <v>182</v>
      </c>
      <c r="D241" s="3">
        <v>45346</v>
      </c>
      <c r="E241" s="3">
        <v>45346</v>
      </c>
      <c r="F241" s="2" t="s">
        <v>58</v>
      </c>
      <c r="G241" s="2" t="s">
        <v>112</v>
      </c>
      <c r="H241" t="str">
        <f>"PH"&amp;MID(G241,IFERROR(FIND("PH-",G241)+3,IFERROR(FIND("ph-",G241)+3,IFERROR(FIND("PH",G241)+2,IFERROR(FIND("ph",G241)+2,0)))),3)</f>
        <v>PHBVU</v>
      </c>
      <c r="I241" t="str">
        <f>H241&amp;"_"&amp;E241</f>
        <v>PHBVU_45346</v>
      </c>
    </row>
    <row r="242" spans="1:9" x14ac:dyDescent="0.3">
      <c r="A242" s="2" t="s">
        <v>56</v>
      </c>
      <c r="B242" s="2">
        <v>695</v>
      </c>
      <c r="C242" s="2" t="s">
        <v>171</v>
      </c>
      <c r="D242" s="3">
        <v>45346</v>
      </c>
      <c r="E242" s="3">
        <v>45346</v>
      </c>
      <c r="F242" s="2" t="s">
        <v>58</v>
      </c>
      <c r="G242" s="2" t="s">
        <v>120</v>
      </c>
      <c r="H242" t="str">
        <f>"PH"&amp;MID(G242,IFERROR(FIND("PH-",G242)+3,IFERROR(FIND("ph-",G242)+3,IFERROR(FIND("PH",G242)+2,IFERROR(FIND("ph",G242)+2,0)))),3)</f>
        <v>PHAKA</v>
      </c>
      <c r="I242" t="str">
        <f>H242&amp;"_"&amp;E242</f>
        <v>PHAKA_45346</v>
      </c>
    </row>
    <row r="243" spans="1:9" x14ac:dyDescent="0.3">
      <c r="A243" s="2" t="s">
        <v>56</v>
      </c>
      <c r="B243" s="2">
        <v>701</v>
      </c>
      <c r="C243" s="2" t="s">
        <v>173</v>
      </c>
      <c r="D243" s="3">
        <v>45346</v>
      </c>
      <c r="E243" s="3">
        <v>45346</v>
      </c>
      <c r="F243" s="2" t="s">
        <v>58</v>
      </c>
      <c r="G243" s="2" t="s">
        <v>122</v>
      </c>
      <c r="H243" t="str">
        <f>"PH"&amp;MID(G243,IFERROR(FIND("PH-",G243)+3,IFERROR(FIND("ph-",G243)+3,IFERROR(FIND("PH",G243)+2,IFERROR(FIND("ph",G243)+2,0)))),3)</f>
        <v>PHBHM</v>
      </c>
      <c r="I243" t="str">
        <f>H243&amp;"_"&amp;E243</f>
        <v>PHBHM_45346</v>
      </c>
    </row>
    <row r="244" spans="1:9" x14ac:dyDescent="0.3">
      <c r="A244" s="2" t="s">
        <v>56</v>
      </c>
      <c r="B244" s="2">
        <v>877</v>
      </c>
      <c r="C244" s="2" t="s">
        <v>206</v>
      </c>
      <c r="D244" s="3">
        <v>45346</v>
      </c>
      <c r="E244" s="3">
        <v>45346</v>
      </c>
      <c r="F244" s="2" t="s">
        <v>58</v>
      </c>
      <c r="G244" s="2" t="s">
        <v>285</v>
      </c>
      <c r="H244" t="str">
        <f>"PH"&amp;MID(G244,IFERROR(FIND("PH-",G244)+3,IFERROR(FIND("ph-",G244)+3,IFERROR(FIND("PH",G244)+2,IFERROR(FIND("ph",G244)+2,0)))),3)</f>
        <v>PHBQD</v>
      </c>
      <c r="I244" t="str">
        <f>H244&amp;"_"&amp;E244</f>
        <v>PHBQD_45346</v>
      </c>
    </row>
    <row r="245" spans="1:9" x14ac:dyDescent="0.3">
      <c r="A245" s="2" t="s">
        <v>56</v>
      </c>
      <c r="B245" s="2">
        <v>587</v>
      </c>
      <c r="C245" s="2" t="s">
        <v>72</v>
      </c>
      <c r="D245" s="3">
        <v>45347</v>
      </c>
      <c r="E245" s="3">
        <v>45347</v>
      </c>
      <c r="F245" s="2" t="s">
        <v>58</v>
      </c>
      <c r="G245" s="2" t="s">
        <v>109</v>
      </c>
      <c r="H245" t="str">
        <f>"PH"&amp;MID(G245,IFERROR(FIND("PH-",G245)+3,IFERROR(FIND("ph-",G245)+3,IFERROR(FIND("PH",G245)+2,IFERROR(FIND("ph",G245)+2,0)))),3)</f>
        <v>PHAOB</v>
      </c>
      <c r="I245" t="str">
        <f>H245&amp;"_"&amp;E245</f>
        <v>PHAOB_45347</v>
      </c>
    </row>
    <row r="246" spans="1:9" x14ac:dyDescent="0.3">
      <c r="A246" s="2" t="s">
        <v>56</v>
      </c>
      <c r="B246" s="2">
        <v>623</v>
      </c>
      <c r="C246" s="2" t="s">
        <v>86</v>
      </c>
      <c r="D246" s="3">
        <v>45347</v>
      </c>
      <c r="E246" s="3">
        <v>45347</v>
      </c>
      <c r="F246" s="2" t="s">
        <v>58</v>
      </c>
      <c r="G246" s="2" t="s">
        <v>120</v>
      </c>
      <c r="H246" t="str">
        <f>"PH"&amp;MID(G246,IFERROR(FIND("PH-",G246)+3,IFERROR(FIND("ph-",G246)+3,IFERROR(FIND("PH",G246)+2,IFERROR(FIND("ph",G246)+2,0)))),3)</f>
        <v>PHAKA</v>
      </c>
      <c r="I246" t="str">
        <f>H246&amp;"_"&amp;E246</f>
        <v>PHAKA_45347</v>
      </c>
    </row>
    <row r="247" spans="1:9" x14ac:dyDescent="0.3">
      <c r="A247" s="2" t="s">
        <v>56</v>
      </c>
      <c r="B247" s="2">
        <v>643</v>
      </c>
      <c r="C247" s="2" t="s">
        <v>98</v>
      </c>
      <c r="D247" s="3">
        <v>45347</v>
      </c>
      <c r="E247" s="3">
        <v>45347</v>
      </c>
      <c r="F247" s="2" t="s">
        <v>58</v>
      </c>
      <c r="G247" s="2" t="s">
        <v>85</v>
      </c>
      <c r="H247" t="str">
        <f>"PH"&amp;MID(G247,IFERROR(FIND("PH-",G247)+3,IFERROR(FIND("ph-",G247)+3,IFERROR(FIND("PH",G247)+2,IFERROR(FIND("ph",G247)+2,0)))),3)</f>
        <v>PHBKC</v>
      </c>
      <c r="I247" t="str">
        <f>H247&amp;"_"&amp;E247</f>
        <v>PHBKC_45347</v>
      </c>
    </row>
    <row r="248" spans="1:9" x14ac:dyDescent="0.3">
      <c r="A248" s="2" t="s">
        <v>56</v>
      </c>
      <c r="B248" s="2">
        <v>705</v>
      </c>
      <c r="C248" s="2" t="s">
        <v>177</v>
      </c>
      <c r="D248" s="3">
        <v>45347</v>
      </c>
      <c r="E248" s="3">
        <v>45347</v>
      </c>
      <c r="F248" s="2" t="s">
        <v>58</v>
      </c>
      <c r="G248" s="2" t="s">
        <v>102</v>
      </c>
      <c r="H248" t="str">
        <f>"PH"&amp;MID(G248,IFERROR(FIND("PH-",G248)+3,IFERROR(FIND("ph-",G248)+3,IFERROR(FIND("PH",G248)+2,IFERROR(FIND("ph",G248)+2,0)))),3)</f>
        <v>PHBQD</v>
      </c>
      <c r="I248" t="str">
        <f>H248&amp;"_"&amp;E248</f>
        <v>PHBQD_45347</v>
      </c>
    </row>
    <row r="249" spans="1:9" x14ac:dyDescent="0.3">
      <c r="A249" s="2" t="s">
        <v>56</v>
      </c>
      <c r="B249" s="2">
        <v>565</v>
      </c>
      <c r="C249" s="2" t="s">
        <v>66</v>
      </c>
      <c r="D249" s="3">
        <v>45347</v>
      </c>
      <c r="E249" s="3">
        <v>45347</v>
      </c>
      <c r="F249" s="2" t="s">
        <v>58</v>
      </c>
      <c r="G249" s="2" t="s">
        <v>112</v>
      </c>
      <c r="H249" t="str">
        <f>"PH"&amp;MID(G249,IFERROR(FIND("PH-",G249)+3,IFERROR(FIND("ph-",G249)+3,IFERROR(FIND("PH",G249)+2,IFERROR(FIND("ph",G249)+2,0)))),3)</f>
        <v>PHBVU</v>
      </c>
      <c r="I249" t="str">
        <f>H249&amp;"_"&amp;E249</f>
        <v>PHBVU_45347</v>
      </c>
    </row>
    <row r="250" spans="1:9" x14ac:dyDescent="0.3">
      <c r="A250" s="2" t="s">
        <v>56</v>
      </c>
      <c r="B250" s="2">
        <v>535</v>
      </c>
      <c r="C250" s="2" t="s">
        <v>103</v>
      </c>
      <c r="D250" s="3">
        <v>45347</v>
      </c>
      <c r="E250" s="3">
        <v>45347</v>
      </c>
      <c r="F250" s="2" t="s">
        <v>58</v>
      </c>
      <c r="G250" s="2" t="s">
        <v>121</v>
      </c>
      <c r="H250" t="str">
        <f>"PH"&amp;MID(G250,IFERROR(FIND("PH-",G250)+3,IFERROR(FIND("ph-",G250)+3,IFERROR(FIND("PH",G250)+2,IFERROR(FIND("ph",G250)+2,0)))),3)</f>
        <v>PHAKA</v>
      </c>
      <c r="I250" t="str">
        <f>H250&amp;"_"&amp;E250</f>
        <v>PHAKA_45347</v>
      </c>
    </row>
    <row r="251" spans="1:9" x14ac:dyDescent="0.3">
      <c r="A251" s="2" t="s">
        <v>56</v>
      </c>
      <c r="B251" s="2">
        <v>671</v>
      </c>
      <c r="C251" s="2" t="s">
        <v>136</v>
      </c>
      <c r="D251" s="3">
        <v>45347</v>
      </c>
      <c r="E251" s="3">
        <v>45347</v>
      </c>
      <c r="F251" s="2" t="s">
        <v>58</v>
      </c>
      <c r="G251" s="2" t="s">
        <v>236</v>
      </c>
      <c r="H251" t="str">
        <f>"PH"&amp;MID(G251,IFERROR(FIND("PH-",G251)+3,IFERROR(FIND("ph-",G251)+3,IFERROR(FIND("PH",G251)+2,IFERROR(FIND("ph",G251)+2,0)))),3)</f>
        <v>PHAOB</v>
      </c>
      <c r="I251" t="str">
        <f>H251&amp;"_"&amp;E251</f>
        <v>PHAOB_45347</v>
      </c>
    </row>
    <row r="252" spans="1:9" x14ac:dyDescent="0.3">
      <c r="A252" s="2" t="s">
        <v>56</v>
      </c>
      <c r="B252" s="2">
        <v>713</v>
      </c>
      <c r="C252" s="2" t="s">
        <v>179</v>
      </c>
      <c r="D252" s="3">
        <v>45347</v>
      </c>
      <c r="E252" s="3">
        <v>45347</v>
      </c>
      <c r="F252" s="2" t="s">
        <v>58</v>
      </c>
      <c r="G252" s="2" t="s">
        <v>68</v>
      </c>
      <c r="H252" t="str">
        <f>"PH"&amp;MID(G252,IFERROR(FIND("PH-",G252)+3,IFERROR(FIND("ph-",G252)+3,IFERROR(FIND("PH",G252)+2,IFERROR(FIND("ph",G252)+2,0)))),3)</f>
        <v>PHBVO</v>
      </c>
      <c r="I252" t="str">
        <f>H252&amp;"_"&amp;E252</f>
        <v>PHBVO_45347</v>
      </c>
    </row>
    <row r="253" spans="1:9" x14ac:dyDescent="0.3">
      <c r="A253" s="2" t="s">
        <v>56</v>
      </c>
      <c r="B253" s="2">
        <v>427</v>
      </c>
      <c r="C253" s="2" t="s">
        <v>63</v>
      </c>
      <c r="D253" s="3">
        <v>45348</v>
      </c>
      <c r="E253" s="3">
        <v>45348</v>
      </c>
      <c r="F253" s="2" t="s">
        <v>58</v>
      </c>
      <c r="G253" s="2" t="s">
        <v>102</v>
      </c>
      <c r="H253" t="str">
        <f>"PH"&amp;MID(G253,IFERROR(FIND("PH-",G253)+3,IFERROR(FIND("ph-",G253)+3,IFERROR(FIND("PH",G253)+2,IFERROR(FIND("ph",G253)+2,0)))),3)</f>
        <v>PHBQD</v>
      </c>
      <c r="I253" t="str">
        <f>H253&amp;"_"&amp;E253</f>
        <v>PHBQD_45348</v>
      </c>
    </row>
    <row r="254" spans="1:9" x14ac:dyDescent="0.3">
      <c r="A254" s="2" t="s">
        <v>56</v>
      </c>
      <c r="B254" s="2">
        <v>565</v>
      </c>
      <c r="C254" s="2" t="s">
        <v>66</v>
      </c>
      <c r="D254" s="3">
        <v>45348</v>
      </c>
      <c r="E254" s="3">
        <v>45348</v>
      </c>
      <c r="F254" s="2" t="s">
        <v>58</v>
      </c>
      <c r="G254" s="2" t="s">
        <v>68</v>
      </c>
      <c r="H254" t="str">
        <f>"PH"&amp;MID(G254,IFERROR(FIND("PH-",G254)+3,IFERROR(FIND("ph-",G254)+3,IFERROR(FIND("PH",G254)+2,IFERROR(FIND("ph",G254)+2,0)))),3)</f>
        <v>PHBVO</v>
      </c>
      <c r="I254" t="str">
        <f>H254&amp;"_"&amp;E254</f>
        <v>PHBVO_45348</v>
      </c>
    </row>
    <row r="255" spans="1:9" x14ac:dyDescent="0.3">
      <c r="A255" s="2" t="s">
        <v>56</v>
      </c>
      <c r="B255" s="2">
        <v>677</v>
      </c>
      <c r="C255" s="2" t="s">
        <v>140</v>
      </c>
      <c r="D255" s="3">
        <v>45348</v>
      </c>
      <c r="E255" s="3">
        <v>45348</v>
      </c>
      <c r="F255" s="2" t="s">
        <v>58</v>
      </c>
      <c r="G255" s="2" t="s">
        <v>85</v>
      </c>
      <c r="H255" t="str">
        <f>"PH"&amp;MID(G255,IFERROR(FIND("PH-",G255)+3,IFERROR(FIND("ph-",G255)+3,IFERROR(FIND("PH",G255)+2,IFERROR(FIND("ph",G255)+2,0)))),3)</f>
        <v>PHBKC</v>
      </c>
      <c r="I255" t="str">
        <f>H255&amp;"_"&amp;E255</f>
        <v>PHBKC_45348</v>
      </c>
    </row>
    <row r="256" spans="1:9" x14ac:dyDescent="0.3">
      <c r="A256" s="2" t="s">
        <v>56</v>
      </c>
      <c r="B256" s="2">
        <v>735</v>
      </c>
      <c r="C256" s="2" t="s">
        <v>182</v>
      </c>
      <c r="D256" s="3">
        <v>45348</v>
      </c>
      <c r="E256" s="3">
        <v>45348</v>
      </c>
      <c r="F256" s="2" t="s">
        <v>58</v>
      </c>
      <c r="G256" s="2" t="s">
        <v>112</v>
      </c>
      <c r="H256" t="str">
        <f>"PH"&amp;MID(G256,IFERROR(FIND("PH-",G256)+3,IFERROR(FIND("ph-",G256)+3,IFERROR(FIND("PH",G256)+2,IFERROR(FIND("ph",G256)+2,0)))),3)</f>
        <v>PHBVU</v>
      </c>
      <c r="I256" t="str">
        <f>H256&amp;"_"&amp;E256</f>
        <v>PHBVU_45348</v>
      </c>
    </row>
    <row r="257" spans="1:9" x14ac:dyDescent="0.3">
      <c r="A257" s="2" t="s">
        <v>56</v>
      </c>
      <c r="B257" s="2">
        <v>537</v>
      </c>
      <c r="C257" s="2" t="s">
        <v>216</v>
      </c>
      <c r="D257" s="3">
        <v>45348</v>
      </c>
      <c r="E257" s="3">
        <v>45348</v>
      </c>
      <c r="F257" s="2" t="s">
        <v>58</v>
      </c>
      <c r="G257" s="2" t="s">
        <v>217</v>
      </c>
      <c r="H257" t="str">
        <f>"PH"&amp;MID(G257,IFERROR(FIND("PH-",G257)+3,IFERROR(FIND("ph-",G257)+3,IFERROR(FIND("PH",G257)+2,IFERROR(FIND("ph",G257)+2,0)))),3)</f>
        <v>PHAKA</v>
      </c>
      <c r="I257" t="str">
        <f>H257&amp;"_"&amp;E257</f>
        <v>PHAKA_45348</v>
      </c>
    </row>
    <row r="258" spans="1:9" x14ac:dyDescent="0.3">
      <c r="A258" s="2" t="s">
        <v>56</v>
      </c>
      <c r="B258" s="2">
        <v>681</v>
      </c>
      <c r="C258" s="2" t="s">
        <v>144</v>
      </c>
      <c r="D258" s="3">
        <v>45348</v>
      </c>
      <c r="E258" s="3">
        <v>45348</v>
      </c>
      <c r="F258" s="2" t="s">
        <v>58</v>
      </c>
      <c r="G258" s="2" t="s">
        <v>109</v>
      </c>
      <c r="H258" t="str">
        <f>"PH"&amp;MID(G258,IFERROR(FIND("PH-",G258)+3,IFERROR(FIND("ph-",G258)+3,IFERROR(FIND("PH",G258)+2,IFERROR(FIND("ph",G258)+2,0)))),3)</f>
        <v>PHAOB</v>
      </c>
      <c r="I258" t="str">
        <f>H258&amp;"_"&amp;E258</f>
        <v>PHAOB_45348</v>
      </c>
    </row>
    <row r="259" spans="1:9" x14ac:dyDescent="0.3">
      <c r="A259" s="2" t="s">
        <v>56</v>
      </c>
      <c r="B259" s="2">
        <v>701</v>
      </c>
      <c r="C259" s="2" t="s">
        <v>173</v>
      </c>
      <c r="D259" s="3">
        <v>45348</v>
      </c>
      <c r="E259" s="3">
        <v>45348</v>
      </c>
      <c r="F259" s="2" t="s">
        <v>58</v>
      </c>
      <c r="G259" s="2" t="s">
        <v>122</v>
      </c>
      <c r="H259" t="str">
        <f>"PH"&amp;MID(G259,IFERROR(FIND("PH-",G259)+3,IFERROR(FIND("ph-",G259)+3,IFERROR(FIND("PH",G259)+2,IFERROR(FIND("ph",G259)+2,0)))),3)</f>
        <v>PHBHM</v>
      </c>
      <c r="I259" t="str">
        <f>H259&amp;"_"&amp;E259</f>
        <v>PHBHM_45348</v>
      </c>
    </row>
    <row r="260" spans="1:9" x14ac:dyDescent="0.3">
      <c r="A260" s="2" t="s">
        <v>56</v>
      </c>
      <c r="B260" s="2">
        <v>867</v>
      </c>
      <c r="C260" s="2" t="s">
        <v>202</v>
      </c>
      <c r="D260" s="3">
        <v>45348</v>
      </c>
      <c r="E260" s="3">
        <v>45348</v>
      </c>
      <c r="F260" s="2" t="s">
        <v>58</v>
      </c>
      <c r="G260" s="2" t="s">
        <v>122</v>
      </c>
      <c r="H260" t="str">
        <f>"PH"&amp;MID(G260,IFERROR(FIND("PH-",G260)+3,IFERROR(FIND("ph-",G260)+3,IFERROR(FIND("PH",G260)+2,IFERROR(FIND("ph",G260)+2,0)))),3)</f>
        <v>PHBHM</v>
      </c>
      <c r="I260" t="str">
        <f>H260&amp;"_"&amp;E260</f>
        <v>PHBHM_45348</v>
      </c>
    </row>
    <row r="261" spans="1:9" x14ac:dyDescent="0.3">
      <c r="A261" s="2" t="s">
        <v>56</v>
      </c>
      <c r="B261" s="2">
        <v>417</v>
      </c>
      <c r="C261" s="2" t="s">
        <v>57</v>
      </c>
      <c r="D261" s="3">
        <v>45349</v>
      </c>
      <c r="E261" s="3">
        <v>45349</v>
      </c>
      <c r="F261" s="2" t="s">
        <v>58</v>
      </c>
      <c r="G261" s="2" t="s">
        <v>60</v>
      </c>
      <c r="H261" t="str">
        <f>"PH"&amp;MID(G261,IFERROR(FIND("PH-",G261)+3,IFERROR(FIND("ph-",G261)+3,IFERROR(FIND("PH",G261)+2,IFERROR(FIND("ph",G261)+2,0)))),3)</f>
        <v>PHAOB</v>
      </c>
      <c r="I261" t="str">
        <f>H261&amp;"_"&amp;E261</f>
        <v>PHAOB_45349</v>
      </c>
    </row>
    <row r="262" spans="1:9" x14ac:dyDescent="0.3">
      <c r="A262" s="2" t="s">
        <v>56</v>
      </c>
      <c r="B262" s="2">
        <v>627</v>
      </c>
      <c r="C262" s="2" t="s">
        <v>89</v>
      </c>
      <c r="D262" s="3">
        <v>45349</v>
      </c>
      <c r="E262" s="3">
        <v>45349</v>
      </c>
      <c r="F262" s="2" t="s">
        <v>58</v>
      </c>
      <c r="G262" s="2" t="s">
        <v>221</v>
      </c>
      <c r="H262" t="str">
        <f>"PH"&amp;MID(G262,IFERROR(FIND("PH-",G262)+3,IFERROR(FIND("ph-",G262)+3,IFERROR(FIND("PH",G262)+2,IFERROR(FIND("ph",G262)+2,0)))),3)</f>
        <v>PHAKA</v>
      </c>
      <c r="I262" t="str">
        <f>H262&amp;"_"&amp;E262</f>
        <v>PHAKA_45349</v>
      </c>
    </row>
    <row r="263" spans="1:9" x14ac:dyDescent="0.3">
      <c r="A263" s="2" t="s">
        <v>56</v>
      </c>
      <c r="B263" s="2">
        <v>701</v>
      </c>
      <c r="C263" s="2" t="s">
        <v>173</v>
      </c>
      <c r="D263" s="3">
        <v>45349</v>
      </c>
      <c r="E263" s="3">
        <v>45349</v>
      </c>
      <c r="F263" s="2" t="s">
        <v>58</v>
      </c>
      <c r="G263" s="2" t="s">
        <v>122</v>
      </c>
      <c r="H263" t="str">
        <f>"PH"&amp;MID(G263,IFERROR(FIND("PH-",G263)+3,IFERROR(FIND("ph-",G263)+3,IFERROR(FIND("PH",G263)+2,IFERROR(FIND("ph",G263)+2,0)))),3)</f>
        <v>PHBHM</v>
      </c>
      <c r="I263" t="str">
        <f>H263&amp;"_"&amp;E263</f>
        <v>PHBHM_45349</v>
      </c>
    </row>
    <row r="264" spans="1:9" x14ac:dyDescent="0.3">
      <c r="A264" s="2" t="s">
        <v>56</v>
      </c>
      <c r="B264" s="2">
        <v>713</v>
      </c>
      <c r="C264" s="2" t="s">
        <v>179</v>
      </c>
      <c r="D264" s="3">
        <v>45349</v>
      </c>
      <c r="E264" s="3">
        <v>45349</v>
      </c>
      <c r="F264" s="2" t="s">
        <v>58</v>
      </c>
      <c r="G264" s="2" t="s">
        <v>102</v>
      </c>
      <c r="H264" t="str">
        <f>"PH"&amp;MID(G264,IFERROR(FIND("PH-",G264)+3,IFERROR(FIND("ph-",G264)+3,IFERROR(FIND("PH",G264)+2,IFERROR(FIND("ph",G264)+2,0)))),3)</f>
        <v>PHBQD</v>
      </c>
      <c r="I264" t="str">
        <f>H264&amp;"_"&amp;E264</f>
        <v>PHBQD_45349</v>
      </c>
    </row>
    <row r="265" spans="1:9" x14ac:dyDescent="0.3">
      <c r="A265" s="2" t="s">
        <v>56</v>
      </c>
      <c r="B265" s="2">
        <v>757</v>
      </c>
      <c r="C265" s="2" t="s">
        <v>189</v>
      </c>
      <c r="D265" s="3">
        <v>45349</v>
      </c>
      <c r="E265" s="3">
        <v>45349</v>
      </c>
      <c r="F265" s="2" t="s">
        <v>58</v>
      </c>
      <c r="G265" s="2" t="s">
        <v>85</v>
      </c>
      <c r="H265" t="str">
        <f>"PH"&amp;MID(G265,IFERROR(FIND("PH-",G265)+3,IFERROR(FIND("ph-",G265)+3,IFERROR(FIND("PH",G265)+2,IFERROR(FIND("ph",G265)+2,0)))),3)</f>
        <v>PHBKC</v>
      </c>
      <c r="I265" t="str">
        <f>H265&amp;"_"&amp;E265</f>
        <v>PHBKC_45349</v>
      </c>
    </row>
    <row r="266" spans="1:9" x14ac:dyDescent="0.3">
      <c r="A266" s="2" t="s">
        <v>56</v>
      </c>
      <c r="B266" s="2">
        <v>655</v>
      </c>
      <c r="C266" s="2" t="s">
        <v>131</v>
      </c>
      <c r="D266" s="3">
        <v>45350</v>
      </c>
      <c r="E266" s="3">
        <v>45350</v>
      </c>
      <c r="F266" s="2" t="s">
        <v>58</v>
      </c>
      <c r="G266" s="2" t="s">
        <v>133</v>
      </c>
      <c r="H266" t="str">
        <f>"PH"&amp;MID(G266,IFERROR(FIND("PH-",G266)+3,IFERROR(FIND("ph-",G266)+3,IFERROR(FIND("PH",G266)+2,IFERROR(FIND("ph",G266)+2,0)))),3)</f>
        <v>PHAOB</v>
      </c>
      <c r="I266" t="str">
        <f>H266&amp;"_"&amp;E266</f>
        <v>PHAOB_45350</v>
      </c>
    </row>
    <row r="267" spans="1:9" x14ac:dyDescent="0.3">
      <c r="A267" s="2" t="s">
        <v>56</v>
      </c>
      <c r="B267" s="2">
        <v>705</v>
      </c>
      <c r="C267" s="2" t="s">
        <v>177</v>
      </c>
      <c r="D267" s="3">
        <v>45350</v>
      </c>
      <c r="E267" s="3">
        <v>45350</v>
      </c>
      <c r="F267" s="2" t="s">
        <v>58</v>
      </c>
      <c r="G267" s="2" t="s">
        <v>178</v>
      </c>
      <c r="H267" t="str">
        <f>"PH"&amp;MID(G267,IFERROR(FIND("PH-",G267)+3,IFERROR(FIND("ph-",G267)+3,IFERROR(FIND("PH",G267)+2,IFERROR(FIND("ph",G267)+2,0)))),3)</f>
        <v>PHBQD</v>
      </c>
      <c r="I267" t="str">
        <f>H267&amp;"_"&amp;E267</f>
        <v>PHBQD_45350</v>
      </c>
    </row>
    <row r="268" spans="1:9" x14ac:dyDescent="0.3">
      <c r="A268" s="2" t="s">
        <v>56</v>
      </c>
      <c r="B268" s="2">
        <v>755</v>
      </c>
      <c r="C268" s="2" t="s">
        <v>188</v>
      </c>
      <c r="D268" s="3">
        <v>45350</v>
      </c>
      <c r="E268" s="3">
        <v>45350</v>
      </c>
      <c r="F268" s="2" t="s">
        <v>58</v>
      </c>
      <c r="G268" s="2" t="s">
        <v>102</v>
      </c>
      <c r="H268" t="str">
        <f>"PH"&amp;MID(G268,IFERROR(FIND("PH-",G268)+3,IFERROR(FIND("ph-",G268)+3,IFERROR(FIND("PH",G268)+2,IFERROR(FIND("ph",G268)+2,0)))),3)</f>
        <v>PHBQD</v>
      </c>
      <c r="I268" t="str">
        <f>H268&amp;"_"&amp;E268</f>
        <v>PHBQD_45350</v>
      </c>
    </row>
    <row r="269" spans="1:9" x14ac:dyDescent="0.3">
      <c r="A269" s="2" t="s">
        <v>56</v>
      </c>
      <c r="B269" s="2">
        <v>641</v>
      </c>
      <c r="C269" s="2" t="s">
        <v>96</v>
      </c>
      <c r="D269" s="3">
        <v>45350</v>
      </c>
      <c r="E269" s="3">
        <v>45350</v>
      </c>
      <c r="F269" s="2" t="s">
        <v>58</v>
      </c>
      <c r="G269" s="2" t="s">
        <v>85</v>
      </c>
      <c r="H269" t="str">
        <f>"PH"&amp;MID(G269,IFERROR(FIND("PH-",G269)+3,IFERROR(FIND("ph-",G269)+3,IFERROR(FIND("PH",G269)+2,IFERROR(FIND("ph",G269)+2,0)))),3)</f>
        <v>PHBKC</v>
      </c>
      <c r="I269" t="str">
        <f>H269&amp;"_"&amp;E269</f>
        <v>PHBKC_45350</v>
      </c>
    </row>
    <row r="270" spans="1:9" x14ac:dyDescent="0.3">
      <c r="A270" s="2" t="s">
        <v>56</v>
      </c>
      <c r="B270" s="2">
        <v>589</v>
      </c>
      <c r="C270" s="2" t="s">
        <v>74</v>
      </c>
      <c r="D270" s="3">
        <v>45350</v>
      </c>
      <c r="E270" s="3">
        <v>45350</v>
      </c>
      <c r="F270" s="2" t="s">
        <v>58</v>
      </c>
      <c r="G270" s="2" t="s">
        <v>112</v>
      </c>
      <c r="H270" t="str">
        <f>"PH"&amp;MID(G270,IFERROR(FIND("PH-",G270)+3,IFERROR(FIND("ph-",G270)+3,IFERROR(FIND("PH",G270)+2,IFERROR(FIND("ph",G270)+2,0)))),3)</f>
        <v>PHBVU</v>
      </c>
      <c r="I270" t="str">
        <f>H270&amp;"_"&amp;E270</f>
        <v>PHBVU_45350</v>
      </c>
    </row>
    <row r="271" spans="1:9" x14ac:dyDescent="0.3">
      <c r="A271" s="2" t="s">
        <v>56</v>
      </c>
      <c r="B271" s="2">
        <v>611</v>
      </c>
      <c r="C271" s="2" t="s">
        <v>116</v>
      </c>
      <c r="D271" s="3">
        <v>45350</v>
      </c>
      <c r="E271" s="3">
        <v>45350</v>
      </c>
      <c r="F271" s="2" t="s">
        <v>58</v>
      </c>
      <c r="G271" s="2" t="s">
        <v>122</v>
      </c>
      <c r="H271" t="str">
        <f>"PH"&amp;MID(G271,IFERROR(FIND("PH-",G271)+3,IFERROR(FIND("ph-",G271)+3,IFERROR(FIND("PH",G271)+2,IFERROR(FIND("ph",G271)+2,0)))),3)</f>
        <v>PHBHM</v>
      </c>
      <c r="I271" t="str">
        <f>H271&amp;"_"&amp;E271</f>
        <v>PHBHM_45350</v>
      </c>
    </row>
    <row r="272" spans="1:9" x14ac:dyDescent="0.3">
      <c r="A272" s="2" t="s">
        <v>56</v>
      </c>
      <c r="B272" s="2">
        <v>691</v>
      </c>
      <c r="C272" s="2" t="s">
        <v>150</v>
      </c>
      <c r="D272" s="3">
        <v>45350</v>
      </c>
      <c r="E272" s="3">
        <v>45350</v>
      </c>
      <c r="F272" s="2" t="s">
        <v>58</v>
      </c>
      <c r="G272" s="2" t="s">
        <v>85</v>
      </c>
      <c r="H272" t="str">
        <f>"PH"&amp;MID(G272,IFERROR(FIND("PH-",G272)+3,IFERROR(FIND("ph-",G272)+3,IFERROR(FIND("PH",G272)+2,IFERROR(FIND("ph",G272)+2,0)))),3)</f>
        <v>PHBKC</v>
      </c>
      <c r="I272" t="str">
        <f>H272&amp;"_"&amp;E272</f>
        <v>PHBKC_45350</v>
      </c>
    </row>
    <row r="273" spans="1:9" x14ac:dyDescent="0.3">
      <c r="A273" s="2" t="s">
        <v>56</v>
      </c>
      <c r="B273" s="2">
        <v>589</v>
      </c>
      <c r="C273" s="2" t="s">
        <v>74</v>
      </c>
      <c r="D273" s="3">
        <v>45351</v>
      </c>
      <c r="E273" s="3">
        <v>45351</v>
      </c>
      <c r="F273" s="2" t="s">
        <v>58</v>
      </c>
      <c r="G273" s="2" t="s">
        <v>112</v>
      </c>
      <c r="H273" t="str">
        <f>"PH"&amp;MID(G273,IFERROR(FIND("PH-",G273)+3,IFERROR(FIND("ph-",G273)+3,IFERROR(FIND("PH",G273)+2,IFERROR(FIND("ph",G273)+2,0)))),3)</f>
        <v>PHBVU</v>
      </c>
      <c r="I273" t="str">
        <f>H273&amp;"_"&amp;E273</f>
        <v>PHBVU_45351</v>
      </c>
    </row>
    <row r="274" spans="1:9" x14ac:dyDescent="0.3">
      <c r="A274" s="2" t="s">
        <v>56</v>
      </c>
      <c r="B274" s="2">
        <v>605</v>
      </c>
      <c r="C274" s="2" t="s">
        <v>81</v>
      </c>
      <c r="D274" s="3">
        <v>45351</v>
      </c>
      <c r="E274" s="3">
        <v>45351</v>
      </c>
      <c r="F274" s="2" t="s">
        <v>58</v>
      </c>
      <c r="G274" s="2" t="s">
        <v>85</v>
      </c>
      <c r="H274" t="str">
        <f>"PH"&amp;MID(G274,IFERROR(FIND("PH-",G274)+3,IFERROR(FIND("ph-",G274)+3,IFERROR(FIND("PH",G274)+2,IFERROR(FIND("ph",G274)+2,0)))),3)</f>
        <v>PHBKC</v>
      </c>
      <c r="I274" t="str">
        <f>H274&amp;"_"&amp;E274</f>
        <v>PHBKC_45351</v>
      </c>
    </row>
    <row r="275" spans="1:9" x14ac:dyDescent="0.3">
      <c r="A275" s="2" t="s">
        <v>56</v>
      </c>
      <c r="B275" s="2">
        <v>661</v>
      </c>
      <c r="C275" s="2" t="s">
        <v>134</v>
      </c>
      <c r="D275" s="3">
        <v>45351</v>
      </c>
      <c r="E275" s="3">
        <v>45351</v>
      </c>
      <c r="F275" s="2" t="s">
        <v>58</v>
      </c>
      <c r="G275" s="2" t="s">
        <v>122</v>
      </c>
      <c r="H275" t="str">
        <f>"PH"&amp;MID(G275,IFERROR(FIND("PH-",G275)+3,IFERROR(FIND("ph-",G275)+3,IFERROR(FIND("PH",G275)+2,IFERROR(FIND("ph",G275)+2,0)))),3)</f>
        <v>PHBHM</v>
      </c>
      <c r="I275" t="str">
        <f>H275&amp;"_"&amp;E275</f>
        <v>PHBHM_45351</v>
      </c>
    </row>
    <row r="276" spans="1:9" x14ac:dyDescent="0.3">
      <c r="A276" s="2" t="s">
        <v>56</v>
      </c>
      <c r="B276" s="2">
        <v>713</v>
      </c>
      <c r="C276" s="2" t="s">
        <v>179</v>
      </c>
      <c r="D276" s="3">
        <v>45351</v>
      </c>
      <c r="E276" s="3">
        <v>45351</v>
      </c>
      <c r="F276" s="2" t="s">
        <v>58</v>
      </c>
      <c r="G276" s="2" t="s">
        <v>68</v>
      </c>
      <c r="H276" t="str">
        <f>"PH"&amp;MID(G276,IFERROR(FIND("PH-",G276)+3,IFERROR(FIND("ph-",G276)+3,IFERROR(FIND("PH",G276)+2,IFERROR(FIND("ph",G276)+2,0)))),3)</f>
        <v>PHBVO</v>
      </c>
      <c r="I276" t="str">
        <f>H276&amp;"_"&amp;E276</f>
        <v>PHBVO_45351</v>
      </c>
    </row>
    <row r="277" spans="1:9" x14ac:dyDescent="0.3">
      <c r="A277" s="2" t="s">
        <v>56</v>
      </c>
      <c r="B277" s="2">
        <v>695</v>
      </c>
      <c r="C277" s="2" t="s">
        <v>171</v>
      </c>
      <c r="D277" s="3">
        <v>45351</v>
      </c>
      <c r="E277" s="3">
        <v>45351</v>
      </c>
      <c r="F277" s="2" t="s">
        <v>58</v>
      </c>
      <c r="G277" s="2" t="s">
        <v>269</v>
      </c>
      <c r="H277" t="str">
        <f>"PH"&amp;MID(G277,IFERROR(FIND("PH-",G277)+3,IFERROR(FIND("ph-",G277)+3,IFERROR(FIND("PH",G277)+2,IFERROR(FIND("ph",G277)+2,0)))),3)</f>
        <v>PHAOB</v>
      </c>
      <c r="I277" t="str">
        <f>H277&amp;"_"&amp;E277</f>
        <v>PHAOB_45351</v>
      </c>
    </row>
    <row r="278" spans="1:9" x14ac:dyDescent="0.3">
      <c r="A278" s="2" t="s">
        <v>56</v>
      </c>
      <c r="B278" s="2">
        <v>855</v>
      </c>
      <c r="C278" s="2" t="s">
        <v>199</v>
      </c>
      <c r="D278" s="3">
        <v>45351</v>
      </c>
      <c r="E278" s="3">
        <v>45351</v>
      </c>
      <c r="F278" s="2" t="s">
        <v>58</v>
      </c>
      <c r="G278" s="2" t="s">
        <v>102</v>
      </c>
      <c r="H278" t="str">
        <f>"PH"&amp;MID(G278,IFERROR(FIND("PH-",G278)+3,IFERROR(FIND("ph-",G278)+3,IFERROR(FIND("PH",G278)+2,IFERROR(FIND("ph",G278)+2,0)))),3)</f>
        <v>PHBQD</v>
      </c>
      <c r="I278" t="str">
        <f>H278&amp;"_"&amp;E278</f>
        <v>PHBQD_45351</v>
      </c>
    </row>
    <row r="279" spans="1:9" x14ac:dyDescent="0.3">
      <c r="A279" s="2" t="s">
        <v>56</v>
      </c>
      <c r="B279" s="2">
        <v>565</v>
      </c>
      <c r="C279" s="2" t="s">
        <v>66</v>
      </c>
      <c r="D279" s="3">
        <v>45352</v>
      </c>
      <c r="E279" s="3">
        <v>45352</v>
      </c>
      <c r="F279" s="2" t="s">
        <v>58</v>
      </c>
      <c r="G279" s="2" t="s">
        <v>69</v>
      </c>
      <c r="H279" t="str">
        <f>"PH"&amp;MID(G279,IFERROR(FIND("PH-",G279)+3,IFERROR(FIND("ph-",G279)+3,IFERROR(FIND("PH",G279)+2,IFERROR(FIND("ph",G279)+2,0)))),3)</f>
        <v>PHBVU</v>
      </c>
      <c r="I279" t="str">
        <f>H279&amp;"_"&amp;E279</f>
        <v>PHBVU_45352</v>
      </c>
    </row>
    <row r="280" spans="1:9" x14ac:dyDescent="0.3">
      <c r="A280" s="2" t="s">
        <v>56</v>
      </c>
      <c r="B280" s="2">
        <v>591</v>
      </c>
      <c r="C280" s="2" t="s">
        <v>76</v>
      </c>
      <c r="D280" s="3">
        <v>45352</v>
      </c>
      <c r="E280" s="3">
        <v>45352</v>
      </c>
      <c r="F280" s="2" t="s">
        <v>58</v>
      </c>
      <c r="G280" s="2" t="s">
        <v>68</v>
      </c>
      <c r="H280" t="str">
        <f>"PH"&amp;MID(G280,IFERROR(FIND("PH-",G280)+3,IFERROR(FIND("ph-",G280)+3,IFERROR(FIND("PH",G280)+2,IFERROR(FIND("ph",G280)+2,0)))),3)</f>
        <v>PHBVO</v>
      </c>
      <c r="I280" t="str">
        <f>H280&amp;"_"&amp;E280</f>
        <v>PHBVO_45352</v>
      </c>
    </row>
    <row r="281" spans="1:9" x14ac:dyDescent="0.3">
      <c r="A281" s="2" t="s">
        <v>56</v>
      </c>
      <c r="B281" s="2">
        <v>651</v>
      </c>
      <c r="C281" s="2" t="s">
        <v>128</v>
      </c>
      <c r="D281" s="3">
        <v>45352</v>
      </c>
      <c r="E281" s="3">
        <v>45352</v>
      </c>
      <c r="F281" s="2" t="s">
        <v>58</v>
      </c>
      <c r="G281" s="2" t="s">
        <v>132</v>
      </c>
      <c r="H281" t="str">
        <f>"PH"&amp;MID(G281,IFERROR(FIND("PH-",G281)+3,IFERROR(FIND("ph-",G281)+3,IFERROR(FIND("PH",G281)+2,IFERROR(FIND("ph",G281)+2,0)))),3)</f>
        <v>PHAOB</v>
      </c>
      <c r="I281" t="str">
        <f>H281&amp;"_"&amp;E281</f>
        <v>PHAOB_45352</v>
      </c>
    </row>
    <row r="282" spans="1:9" x14ac:dyDescent="0.3">
      <c r="A282" s="2" t="s">
        <v>56</v>
      </c>
      <c r="B282" s="2">
        <v>701</v>
      </c>
      <c r="C282" s="2" t="s">
        <v>173</v>
      </c>
      <c r="D282" s="3">
        <v>45352</v>
      </c>
      <c r="E282" s="3">
        <v>45352</v>
      </c>
      <c r="F282" s="2" t="s">
        <v>58</v>
      </c>
      <c r="G282" s="2" t="s">
        <v>248</v>
      </c>
      <c r="H282" t="str">
        <f>"PH"&amp;MID(G282,IFERROR(FIND("PH-",G282)+3,IFERROR(FIND("ph-",G282)+3,IFERROR(FIND("PH",G282)+2,IFERROR(FIND("ph",G282)+2,0)))),3)</f>
        <v>PHBHM</v>
      </c>
      <c r="I282" t="str">
        <f>H282&amp;"_"&amp;E282</f>
        <v>PHBHM_45352</v>
      </c>
    </row>
    <row r="283" spans="1:9" x14ac:dyDescent="0.3">
      <c r="A283" s="2" t="s">
        <v>56</v>
      </c>
      <c r="B283" s="2">
        <v>757</v>
      </c>
      <c r="C283" s="2" t="s">
        <v>189</v>
      </c>
      <c r="D283" s="3">
        <v>45352</v>
      </c>
      <c r="E283" s="3">
        <v>45352</v>
      </c>
      <c r="F283" s="2" t="s">
        <v>58</v>
      </c>
      <c r="G283" s="2" t="s">
        <v>85</v>
      </c>
      <c r="H283" t="str">
        <f>"PH"&amp;MID(G283,IFERROR(FIND("PH-",G283)+3,IFERROR(FIND("ph-",G283)+3,IFERROR(FIND("PH",G283)+2,IFERROR(FIND("ph",G283)+2,0)))),3)</f>
        <v>PHBKC</v>
      </c>
      <c r="I283" t="str">
        <f>H283&amp;"_"&amp;E283</f>
        <v>PHBKC_45352</v>
      </c>
    </row>
    <row r="284" spans="1:9" x14ac:dyDescent="0.3">
      <c r="A284" s="2" t="s">
        <v>56</v>
      </c>
      <c r="B284" s="2">
        <v>895</v>
      </c>
      <c r="C284" s="2" t="s">
        <v>213</v>
      </c>
      <c r="D284" s="3">
        <v>45352</v>
      </c>
      <c r="E284" s="3">
        <v>45352</v>
      </c>
      <c r="F284" s="2" t="s">
        <v>58</v>
      </c>
      <c r="G284" s="2" t="s">
        <v>266</v>
      </c>
      <c r="H284" t="str">
        <f>"PH"&amp;MID(G284,IFERROR(FIND("PH-",G284)+3,IFERROR(FIND("ph-",G284)+3,IFERROR(FIND("PH",G284)+2,IFERROR(FIND("ph",G284)+2,0)))),3)</f>
        <v>PHBVU</v>
      </c>
      <c r="I284" t="str">
        <f>H284&amp;"_"&amp;E284</f>
        <v>PHBVU_45352</v>
      </c>
    </row>
    <row r="285" spans="1:9" x14ac:dyDescent="0.3">
      <c r="A285" s="2" t="s">
        <v>56</v>
      </c>
      <c r="B285" s="2">
        <v>695</v>
      </c>
      <c r="C285" s="2" t="s">
        <v>171</v>
      </c>
      <c r="D285" s="3">
        <v>45353</v>
      </c>
      <c r="E285" s="3">
        <v>45353</v>
      </c>
      <c r="F285" s="2" t="s">
        <v>58</v>
      </c>
      <c r="G285" s="2" t="s">
        <v>132</v>
      </c>
      <c r="H285" t="str">
        <f>"PH"&amp;MID(G285,IFERROR(FIND("PH-",G285)+3,IFERROR(FIND("ph-",G285)+3,IFERROR(FIND("PH",G285)+2,IFERROR(FIND("ph",G285)+2,0)))),3)</f>
        <v>PHAOB</v>
      </c>
      <c r="I285" t="str">
        <f>H285&amp;"_"&amp;E285</f>
        <v>PHAOB_45353</v>
      </c>
    </row>
    <row r="286" spans="1:9" x14ac:dyDescent="0.3">
      <c r="A286" s="2" t="s">
        <v>56</v>
      </c>
      <c r="B286" s="2">
        <v>735</v>
      </c>
      <c r="C286" s="2" t="s">
        <v>182</v>
      </c>
      <c r="D286" s="3">
        <v>45353</v>
      </c>
      <c r="E286" s="3">
        <v>45353</v>
      </c>
      <c r="F286" s="2" t="s">
        <v>58</v>
      </c>
      <c r="G286" s="2" t="s">
        <v>69</v>
      </c>
      <c r="H286" t="str">
        <f>"PH"&amp;MID(G286,IFERROR(FIND("PH-",G286)+3,IFERROR(FIND("ph-",G286)+3,IFERROR(FIND("PH",G286)+2,IFERROR(FIND("ph",G286)+2,0)))),3)</f>
        <v>PHBVU</v>
      </c>
      <c r="I286" t="str">
        <f>H286&amp;"_"&amp;E286</f>
        <v>PHBVU_45353</v>
      </c>
    </row>
    <row r="287" spans="1:9" x14ac:dyDescent="0.3">
      <c r="A287" s="2" t="s">
        <v>56</v>
      </c>
      <c r="B287" s="2">
        <v>743</v>
      </c>
      <c r="C287" s="2" t="s">
        <v>187</v>
      </c>
      <c r="D287" s="3">
        <v>45353</v>
      </c>
      <c r="E287" s="3">
        <v>45353</v>
      </c>
      <c r="F287" s="2" t="s">
        <v>58</v>
      </c>
      <c r="G287" s="2" t="s">
        <v>102</v>
      </c>
      <c r="H287" t="str">
        <f>"PH"&amp;MID(G287,IFERROR(FIND("PH-",G287)+3,IFERROR(FIND("ph-",G287)+3,IFERROR(FIND("PH",G287)+2,IFERROR(FIND("ph",G287)+2,0)))),3)</f>
        <v>PHBQD</v>
      </c>
      <c r="I287" t="str">
        <f>H287&amp;"_"&amp;E287</f>
        <v>PHBQD_45353</v>
      </c>
    </row>
    <row r="288" spans="1:9" x14ac:dyDescent="0.3">
      <c r="A288" s="2" t="s">
        <v>56</v>
      </c>
      <c r="B288" s="2">
        <v>635</v>
      </c>
      <c r="C288" s="2" t="s">
        <v>91</v>
      </c>
      <c r="D288" s="3">
        <v>45354</v>
      </c>
      <c r="E288" s="3">
        <v>45354</v>
      </c>
      <c r="F288" s="2" t="s">
        <v>58</v>
      </c>
      <c r="G288" s="2" t="s">
        <v>122</v>
      </c>
      <c r="H288" t="str">
        <f>"PH"&amp;MID(G288,IFERROR(FIND("PH-",G288)+3,IFERROR(FIND("ph-",G288)+3,IFERROR(FIND("PH",G288)+2,IFERROR(FIND("ph",G288)+2,0)))),3)</f>
        <v>PHBHM</v>
      </c>
      <c r="I288" t="str">
        <f>H288&amp;"_"&amp;E288</f>
        <v>PHBHM_45354</v>
      </c>
    </row>
    <row r="289" spans="1:9" x14ac:dyDescent="0.3">
      <c r="A289" s="2" t="s">
        <v>56</v>
      </c>
      <c r="B289" s="2">
        <v>887</v>
      </c>
      <c r="C289" s="2" t="s">
        <v>211</v>
      </c>
      <c r="D289" s="3">
        <v>45354</v>
      </c>
      <c r="E289" s="3">
        <v>45354</v>
      </c>
      <c r="F289" s="2" t="s">
        <v>58</v>
      </c>
      <c r="G289" s="2" t="s">
        <v>212</v>
      </c>
      <c r="H289" t="str">
        <f>"PH"&amp;MID(G289,IFERROR(FIND("PH-",G289)+3,IFERROR(FIND("ph-",G289)+3,IFERROR(FIND("PH",G289)+2,IFERROR(FIND("ph",G289)+2,0)))),3)</f>
        <v>PHBQD</v>
      </c>
      <c r="I289" t="str">
        <f>H289&amp;"_"&amp;E289</f>
        <v>PHBQD_45354</v>
      </c>
    </row>
    <row r="290" spans="1:9" x14ac:dyDescent="0.3">
      <c r="A290" s="2" t="s">
        <v>56</v>
      </c>
      <c r="B290" s="2">
        <v>735</v>
      </c>
      <c r="C290" s="2" t="s">
        <v>182</v>
      </c>
      <c r="D290" s="3">
        <v>45354</v>
      </c>
      <c r="E290" s="3">
        <v>45354</v>
      </c>
      <c r="F290" s="2" t="s">
        <v>58</v>
      </c>
      <c r="G290" s="2" t="s">
        <v>255</v>
      </c>
      <c r="H290" t="str">
        <f>"PH"&amp;MID(G290,IFERROR(FIND("PH-",G290)+3,IFERROR(FIND("ph-",G290)+3,IFERROR(FIND("PH",G290)+2,IFERROR(FIND("ph",G290)+2,0)))),3)</f>
        <v>PHBVO</v>
      </c>
      <c r="I290" t="str">
        <f>H290&amp;"_"&amp;E290</f>
        <v>PHBVO_45354</v>
      </c>
    </row>
    <row r="291" spans="1:9" x14ac:dyDescent="0.3">
      <c r="A291" s="2" t="s">
        <v>56</v>
      </c>
      <c r="B291" s="2">
        <v>643</v>
      </c>
      <c r="C291" s="2" t="s">
        <v>98</v>
      </c>
      <c r="D291" s="3">
        <v>45355</v>
      </c>
      <c r="E291" s="3">
        <v>45355</v>
      </c>
      <c r="F291" s="2" t="s">
        <v>58</v>
      </c>
      <c r="G291" s="2" t="s">
        <v>127</v>
      </c>
      <c r="H291" t="str">
        <f>"PH"&amp;MID(G291,IFERROR(FIND("PH-",G291)+3,IFERROR(FIND("ph-",G291)+3,IFERROR(FIND("PH",G291)+2,IFERROR(FIND("ph",G291)+2,0)))),3)</f>
        <v>PHBHH</v>
      </c>
      <c r="I291" t="str">
        <f>H291&amp;"_"&amp;E291</f>
        <v>PHBHH_45355</v>
      </c>
    </row>
    <row r="292" spans="1:9" x14ac:dyDescent="0.3">
      <c r="A292" s="2" t="s">
        <v>56</v>
      </c>
      <c r="B292" s="2">
        <v>701</v>
      </c>
      <c r="C292" s="2" t="s">
        <v>173</v>
      </c>
      <c r="D292" s="3">
        <v>45355</v>
      </c>
      <c r="E292" s="3">
        <v>45355</v>
      </c>
      <c r="F292" s="2" t="s">
        <v>58</v>
      </c>
      <c r="G292" s="2" t="s">
        <v>122</v>
      </c>
      <c r="H292" t="str">
        <f>"PH"&amp;MID(G292,IFERROR(FIND("PH-",G292)+3,IFERROR(FIND("ph-",G292)+3,IFERROR(FIND("PH",G292)+2,IFERROR(FIND("ph",G292)+2,0)))),3)</f>
        <v>PHBHM</v>
      </c>
      <c r="I292" t="str">
        <f>H292&amp;"_"&amp;E292</f>
        <v>PHBHM_45355</v>
      </c>
    </row>
    <row r="293" spans="1:9" x14ac:dyDescent="0.3">
      <c r="A293" s="2" t="s">
        <v>56</v>
      </c>
      <c r="B293" s="2">
        <v>685</v>
      </c>
      <c r="C293" s="2" t="s">
        <v>146</v>
      </c>
      <c r="D293" s="3">
        <v>45356</v>
      </c>
      <c r="E293" s="3">
        <v>45356</v>
      </c>
      <c r="F293" s="2" t="s">
        <v>58</v>
      </c>
      <c r="G293" s="2" t="s">
        <v>94</v>
      </c>
      <c r="H293" t="str">
        <f>"PH"&amp;MID(G293,IFERROR(FIND("PH-",G293)+3,IFERROR(FIND("ph-",G293)+3,IFERROR(FIND("PH",G293)+2,IFERROR(FIND("ph",G293)+2,0)))),3)</f>
        <v>PHBHH</v>
      </c>
      <c r="I293" t="str">
        <f>H293&amp;"_"&amp;E293</f>
        <v>PHBHH_45356</v>
      </c>
    </row>
    <row r="294" spans="1:9" x14ac:dyDescent="0.3">
      <c r="A294" s="2" t="s">
        <v>56</v>
      </c>
      <c r="B294" s="2">
        <v>635</v>
      </c>
      <c r="C294" s="2" t="s">
        <v>91</v>
      </c>
      <c r="D294" s="3">
        <v>45356</v>
      </c>
      <c r="E294" s="3">
        <v>45356</v>
      </c>
      <c r="F294" s="2" t="s">
        <v>58</v>
      </c>
      <c r="G294" s="2" t="s">
        <v>222</v>
      </c>
      <c r="H294" t="str">
        <f>"PH"&amp;MID(G294,IFERROR(FIND("PH-",G294)+3,IFERROR(FIND("ph-",G294)+3,IFERROR(FIND("PH",G294)+2,IFERROR(FIND("ph",G294)+2,0)))),3)</f>
        <v>PHBHH</v>
      </c>
      <c r="I294" t="str">
        <f>H294&amp;"_"&amp;E294</f>
        <v>PHBHH_45356</v>
      </c>
    </row>
    <row r="295" spans="1:9" x14ac:dyDescent="0.3">
      <c r="A295" s="2" t="s">
        <v>56</v>
      </c>
      <c r="B295" s="2">
        <v>535</v>
      </c>
      <c r="C295" s="2" t="s">
        <v>103</v>
      </c>
      <c r="D295" s="3">
        <v>45357</v>
      </c>
      <c r="E295" s="3">
        <v>45357</v>
      </c>
      <c r="F295" s="2" t="s">
        <v>58</v>
      </c>
      <c r="G295" s="2" t="s">
        <v>104</v>
      </c>
      <c r="H295" t="str">
        <f>"PH"&amp;MID(G295,IFERROR(FIND("PH-",G295)+3,IFERROR(FIND("ph-",G295)+3,IFERROR(FIND("PH",G295)+2,IFERROR(FIND("ph",G295)+2,0)))),3)</f>
        <v>PHAOB</v>
      </c>
      <c r="I295" t="str">
        <f>H295&amp;"_"&amp;E295</f>
        <v>PHAOB_45357</v>
      </c>
    </row>
    <row r="296" spans="1:9" x14ac:dyDescent="0.3">
      <c r="A296" s="2" t="s">
        <v>56</v>
      </c>
      <c r="B296" s="2">
        <v>617</v>
      </c>
      <c r="C296" s="2" t="s">
        <v>82</v>
      </c>
      <c r="D296" s="3">
        <v>45357</v>
      </c>
      <c r="E296" s="3">
        <v>45357</v>
      </c>
      <c r="F296" s="2" t="s">
        <v>58</v>
      </c>
      <c r="G296" s="2" t="s">
        <v>94</v>
      </c>
      <c r="H296" t="str">
        <f>"PH"&amp;MID(G296,IFERROR(FIND("PH-",G296)+3,IFERROR(FIND("ph-",G296)+3,IFERROR(FIND("PH",G296)+2,IFERROR(FIND("ph",G296)+2,0)))),3)</f>
        <v>PHBHH</v>
      </c>
      <c r="I296" t="str">
        <f>H296&amp;"_"&amp;E296</f>
        <v>PHBHH_45357</v>
      </c>
    </row>
    <row r="297" spans="1:9" x14ac:dyDescent="0.3">
      <c r="A297" s="2" t="s">
        <v>56</v>
      </c>
      <c r="B297" s="2">
        <v>791</v>
      </c>
      <c r="C297" s="2" t="s">
        <v>192</v>
      </c>
      <c r="D297" s="3">
        <v>45358</v>
      </c>
      <c r="E297" s="3">
        <v>45358</v>
      </c>
      <c r="F297" s="2" t="s">
        <v>58</v>
      </c>
      <c r="G297" s="2" t="s">
        <v>102</v>
      </c>
      <c r="H297" t="str">
        <f>"PH"&amp;MID(G297,IFERROR(FIND("PH-",G297)+3,IFERROR(FIND("ph-",G297)+3,IFERROR(FIND("PH",G297)+2,IFERROR(FIND("ph",G297)+2,0)))),3)</f>
        <v>PHBQD</v>
      </c>
      <c r="I297" t="str">
        <f>H297&amp;"_"&amp;E297</f>
        <v>PHBQD_45358</v>
      </c>
    </row>
    <row r="298" spans="1:9" x14ac:dyDescent="0.3">
      <c r="A298" s="2" t="s">
        <v>56</v>
      </c>
      <c r="B298" s="2">
        <v>685</v>
      </c>
      <c r="C298" s="2" t="s">
        <v>146</v>
      </c>
      <c r="D298" s="3">
        <v>45358</v>
      </c>
      <c r="E298" s="3">
        <v>45358</v>
      </c>
      <c r="F298" s="2" t="s">
        <v>58</v>
      </c>
      <c r="G298" s="2" t="s">
        <v>94</v>
      </c>
      <c r="H298" t="str">
        <f>"PH"&amp;MID(G298,IFERROR(FIND("PH-",G298)+3,IFERROR(FIND("ph-",G298)+3,IFERROR(FIND("PH",G298)+2,IFERROR(FIND("ph",G298)+2,0)))),3)</f>
        <v>PHBHH</v>
      </c>
      <c r="I298" t="str">
        <f>H298&amp;"_"&amp;E298</f>
        <v>PHBHH_45358</v>
      </c>
    </row>
    <row r="299" spans="1:9" x14ac:dyDescent="0.3">
      <c r="A299" s="2" t="s">
        <v>56</v>
      </c>
      <c r="B299" s="2">
        <v>661</v>
      </c>
      <c r="C299" s="2" t="s">
        <v>134</v>
      </c>
      <c r="D299" s="3">
        <v>45358</v>
      </c>
      <c r="E299" s="3">
        <v>45358</v>
      </c>
      <c r="F299" s="2" t="s">
        <v>58</v>
      </c>
      <c r="G299" s="2" t="s">
        <v>122</v>
      </c>
      <c r="H299" t="str">
        <f>"PH"&amp;MID(G299,IFERROR(FIND("PH-",G299)+3,IFERROR(FIND("ph-",G299)+3,IFERROR(FIND("PH",G299)+2,IFERROR(FIND("ph",G299)+2,0)))),3)</f>
        <v>PHBHM</v>
      </c>
      <c r="I299" t="str">
        <f>H299&amp;"_"&amp;E299</f>
        <v>PHBHM_45358</v>
      </c>
    </row>
    <row r="300" spans="1:9" x14ac:dyDescent="0.3">
      <c r="A300" s="2" t="s">
        <v>56</v>
      </c>
      <c r="B300" s="2">
        <v>685</v>
      </c>
      <c r="C300" s="2" t="s">
        <v>146</v>
      </c>
      <c r="D300" s="3">
        <v>45359</v>
      </c>
      <c r="E300" s="3">
        <v>45359</v>
      </c>
      <c r="F300" s="2" t="s">
        <v>58</v>
      </c>
      <c r="G300" s="2" t="s">
        <v>122</v>
      </c>
      <c r="H300" t="str">
        <f>"PH"&amp;MID(G300,IFERROR(FIND("PH-",G300)+3,IFERROR(FIND("ph-",G300)+3,IFERROR(FIND("PH",G300)+2,IFERROR(FIND("ph",G300)+2,0)))),3)</f>
        <v>PHBHM</v>
      </c>
      <c r="I300" t="str">
        <f>H300&amp;"_"&amp;E300</f>
        <v>PHBHM_45359</v>
      </c>
    </row>
    <row r="301" spans="1:9" x14ac:dyDescent="0.3">
      <c r="A301" s="2" t="s">
        <v>56</v>
      </c>
      <c r="B301" s="2">
        <v>897</v>
      </c>
      <c r="C301" s="2" t="s">
        <v>214</v>
      </c>
      <c r="D301" s="3">
        <v>45359</v>
      </c>
      <c r="E301" s="3">
        <v>45359</v>
      </c>
      <c r="F301" s="2" t="s">
        <v>58</v>
      </c>
      <c r="G301" s="2" t="s">
        <v>122</v>
      </c>
      <c r="H301" t="str">
        <f>"PH"&amp;MID(G301,IFERROR(FIND("PH-",G301)+3,IFERROR(FIND("ph-",G301)+3,IFERROR(FIND("PH",G301)+2,IFERROR(FIND("ph",G301)+2,0)))),3)</f>
        <v>PHBHM</v>
      </c>
      <c r="I301" t="str">
        <f>H301&amp;"_"&amp;E301</f>
        <v>PHBHM_45359</v>
      </c>
    </row>
    <row r="302" spans="1:9" x14ac:dyDescent="0.3">
      <c r="A302" s="2" t="s">
        <v>56</v>
      </c>
      <c r="B302" s="2">
        <v>617</v>
      </c>
      <c r="C302" s="2" t="s">
        <v>82</v>
      </c>
      <c r="D302" s="3">
        <v>45359</v>
      </c>
      <c r="E302" s="3">
        <v>45359</v>
      </c>
      <c r="F302" s="2" t="s">
        <v>58</v>
      </c>
      <c r="G302" s="2" t="s">
        <v>94</v>
      </c>
      <c r="H302" t="str">
        <f>"PH"&amp;MID(G302,IFERROR(FIND("PH-",G302)+3,IFERROR(FIND("ph-",G302)+3,IFERROR(FIND("PH",G302)+2,IFERROR(FIND("ph",G302)+2,0)))),3)</f>
        <v>PHBHH</v>
      </c>
      <c r="I302" t="str">
        <f>H302&amp;"_"&amp;E302</f>
        <v>PHBHH_45359</v>
      </c>
    </row>
    <row r="303" spans="1:9" x14ac:dyDescent="0.3">
      <c r="A303" s="2" t="s">
        <v>56</v>
      </c>
      <c r="B303" s="2">
        <v>661</v>
      </c>
      <c r="C303" s="2" t="s">
        <v>134</v>
      </c>
      <c r="D303" s="3">
        <v>45359</v>
      </c>
      <c r="E303" s="3">
        <v>45359</v>
      </c>
      <c r="F303" s="2" t="s">
        <v>58</v>
      </c>
      <c r="G303" s="2" t="s">
        <v>235</v>
      </c>
      <c r="H303" t="str">
        <f>"PH"&amp;MID(G303,IFERROR(FIND("PH-",G303)+3,IFERROR(FIND("ph-",G303)+3,IFERROR(FIND("PH",G303)+2,IFERROR(FIND("ph",G303)+2,0)))),3)</f>
        <v>PHBQD</v>
      </c>
      <c r="I303" t="str">
        <f>H303&amp;"_"&amp;E303</f>
        <v>PHBQD_45359</v>
      </c>
    </row>
    <row r="304" spans="1:9" x14ac:dyDescent="0.3">
      <c r="A304" s="2" t="s">
        <v>56</v>
      </c>
      <c r="B304" s="2">
        <v>643</v>
      </c>
      <c r="C304" s="2" t="s">
        <v>98</v>
      </c>
      <c r="D304" s="3">
        <v>45360</v>
      </c>
      <c r="E304" s="3">
        <v>45360</v>
      </c>
      <c r="F304" s="2" t="s">
        <v>58</v>
      </c>
      <c r="G304" s="2" t="s">
        <v>122</v>
      </c>
      <c r="H304" t="str">
        <f>"PH"&amp;MID(G304,IFERROR(FIND("PH-",G304)+3,IFERROR(FIND("ph-",G304)+3,IFERROR(FIND("PH",G304)+2,IFERROR(FIND("ph",G304)+2,0)))),3)</f>
        <v>PHBHM</v>
      </c>
      <c r="I304" t="str">
        <f>H304&amp;"_"&amp;E304</f>
        <v>PHBHM_45360</v>
      </c>
    </row>
    <row r="305" spans="1:9" x14ac:dyDescent="0.3">
      <c r="A305" s="2" t="s">
        <v>56</v>
      </c>
      <c r="B305" s="2">
        <v>667</v>
      </c>
      <c r="C305" s="2" t="s">
        <v>135</v>
      </c>
      <c r="D305" s="3">
        <v>45360</v>
      </c>
      <c r="E305" s="3">
        <v>45360</v>
      </c>
      <c r="F305" s="2" t="s">
        <v>58</v>
      </c>
      <c r="G305" s="2" t="s">
        <v>94</v>
      </c>
      <c r="H305" t="str">
        <f>"PH"&amp;MID(G305,IFERROR(FIND("PH-",G305)+3,IFERROR(FIND("ph-",G305)+3,IFERROR(FIND("PH",G305)+2,IFERROR(FIND("ph",G305)+2,0)))),3)</f>
        <v>PHBHH</v>
      </c>
      <c r="I305" t="str">
        <f>H305&amp;"_"&amp;E305</f>
        <v>PHBHH_45360</v>
      </c>
    </row>
    <row r="306" spans="1:9" x14ac:dyDescent="0.3">
      <c r="A306" s="2" t="s">
        <v>56</v>
      </c>
      <c r="B306" s="2">
        <v>809</v>
      </c>
      <c r="C306" s="2" t="s">
        <v>194</v>
      </c>
      <c r="D306" s="3">
        <v>45360</v>
      </c>
      <c r="E306" s="3">
        <v>45360</v>
      </c>
      <c r="F306" s="2" t="s">
        <v>58</v>
      </c>
      <c r="G306" s="2" t="s">
        <v>122</v>
      </c>
      <c r="H306" t="str">
        <f>"PH"&amp;MID(G306,IFERROR(FIND("PH-",G306)+3,IFERROR(FIND("ph-",G306)+3,IFERROR(FIND("PH",G306)+2,IFERROR(FIND("ph",G306)+2,0)))),3)</f>
        <v>PHBHM</v>
      </c>
      <c r="I306" t="str">
        <f>H306&amp;"_"&amp;E306</f>
        <v>PHBHM_45360</v>
      </c>
    </row>
    <row r="307" spans="1:9" x14ac:dyDescent="0.3">
      <c r="A307" s="2" t="s">
        <v>56</v>
      </c>
      <c r="B307" s="2">
        <v>879</v>
      </c>
      <c r="C307" s="2" t="s">
        <v>208</v>
      </c>
      <c r="D307" s="3">
        <v>45360</v>
      </c>
      <c r="E307" s="3">
        <v>45360</v>
      </c>
      <c r="F307" s="2" t="s">
        <v>58</v>
      </c>
      <c r="G307" s="2" t="s">
        <v>285</v>
      </c>
      <c r="H307" t="str">
        <f>"PH"&amp;MID(G307,IFERROR(FIND("PH-",G307)+3,IFERROR(FIND("ph-",G307)+3,IFERROR(FIND("PH",G307)+2,IFERROR(FIND("ph",G307)+2,0)))),3)</f>
        <v>PHBQD</v>
      </c>
      <c r="I307" t="str">
        <f>H307&amp;"_"&amp;E307</f>
        <v>PHBQD_45360</v>
      </c>
    </row>
    <row r="308" spans="1:9" x14ac:dyDescent="0.3">
      <c r="A308" s="2" t="s">
        <v>56</v>
      </c>
      <c r="B308" s="2">
        <v>635</v>
      </c>
      <c r="C308" s="2" t="s">
        <v>91</v>
      </c>
      <c r="D308" s="3">
        <v>45361</v>
      </c>
      <c r="E308" s="3">
        <v>45361</v>
      </c>
      <c r="F308" s="2" t="s">
        <v>58</v>
      </c>
      <c r="G308" s="2" t="s">
        <v>94</v>
      </c>
      <c r="H308" t="str">
        <f>"PH"&amp;MID(G308,IFERROR(FIND("PH-",G308)+3,IFERROR(FIND("ph-",G308)+3,IFERROR(FIND("PH",G308)+2,IFERROR(FIND("ph",G308)+2,0)))),3)</f>
        <v>PHBHH</v>
      </c>
      <c r="I308" t="str">
        <f>H308&amp;"_"&amp;E308</f>
        <v>PHBHH_45361</v>
      </c>
    </row>
    <row r="309" spans="1:9" x14ac:dyDescent="0.3">
      <c r="A309" s="2" t="s">
        <v>56</v>
      </c>
      <c r="B309" s="2">
        <v>671</v>
      </c>
      <c r="C309" s="2" t="s">
        <v>136</v>
      </c>
      <c r="D309" s="3">
        <v>45361</v>
      </c>
      <c r="E309" s="3">
        <v>45361</v>
      </c>
      <c r="F309" s="2" t="s">
        <v>58</v>
      </c>
      <c r="G309" s="2" t="s">
        <v>162</v>
      </c>
      <c r="H309" t="str">
        <f>"PH"&amp;MID(G309,IFERROR(FIND("PH-",G309)+3,IFERROR(FIND("ph-",G309)+3,IFERROR(FIND("PH",G309)+2,IFERROR(FIND("ph",G309)+2,0)))),3)</f>
        <v>PHAOB</v>
      </c>
      <c r="I309" t="str">
        <f>H309&amp;"_"&amp;E309</f>
        <v>PHAOB_45361</v>
      </c>
    </row>
    <row r="310" spans="1:9" x14ac:dyDescent="0.3">
      <c r="A310" s="2" t="s">
        <v>56</v>
      </c>
      <c r="B310" s="2">
        <v>677</v>
      </c>
      <c r="C310" s="2" t="s">
        <v>140</v>
      </c>
      <c r="D310" s="3">
        <v>45361</v>
      </c>
      <c r="E310" s="3">
        <v>45361</v>
      </c>
      <c r="F310" s="2" t="s">
        <v>58</v>
      </c>
      <c r="G310" s="2" t="s">
        <v>122</v>
      </c>
      <c r="H310" t="str">
        <f>"PH"&amp;MID(G310,IFERROR(FIND("PH-",G310)+3,IFERROR(FIND("ph-",G310)+3,IFERROR(FIND("PH",G310)+2,IFERROR(FIND("ph",G310)+2,0)))),3)</f>
        <v>PHBHM</v>
      </c>
      <c r="I310" t="str">
        <f>H310&amp;"_"&amp;E310</f>
        <v>PHBHM_45361</v>
      </c>
    </row>
    <row r="311" spans="1:9" x14ac:dyDescent="0.3">
      <c r="A311" s="2" t="s">
        <v>56</v>
      </c>
      <c r="B311" s="2">
        <v>681</v>
      </c>
      <c r="C311" s="2" t="s">
        <v>144</v>
      </c>
      <c r="D311" s="3">
        <v>45362</v>
      </c>
      <c r="E311" s="3">
        <v>45362</v>
      </c>
      <c r="F311" s="2" t="s">
        <v>58</v>
      </c>
      <c r="G311" s="2" t="s">
        <v>164</v>
      </c>
      <c r="H311" t="str">
        <f>"PH"&amp;MID(G311,IFERROR(FIND("PH-",G311)+3,IFERROR(FIND("ph-",G311)+3,IFERROR(FIND("PH",G311)+2,IFERROR(FIND("ph",G311)+2,0)))),3)</f>
        <v>PHAOB</v>
      </c>
      <c r="I311" t="str">
        <f>H311&amp;"_"&amp;E311</f>
        <v>PHAOB_45362</v>
      </c>
    </row>
    <row r="312" spans="1:9" x14ac:dyDescent="0.3">
      <c r="A312" s="2" t="s">
        <v>56</v>
      </c>
      <c r="B312" s="2">
        <v>677</v>
      </c>
      <c r="C312" s="2" t="s">
        <v>140</v>
      </c>
      <c r="D312" s="3">
        <v>45362</v>
      </c>
      <c r="E312" s="3">
        <v>45362</v>
      </c>
      <c r="F312" s="2" t="s">
        <v>58</v>
      </c>
      <c r="G312" s="2" t="s">
        <v>94</v>
      </c>
      <c r="H312" t="str">
        <f>"PH"&amp;MID(G312,IFERROR(FIND("PH-",G312)+3,IFERROR(FIND("ph-",G312)+3,IFERROR(FIND("PH",G312)+2,IFERROR(FIND("ph",G312)+2,0)))),3)</f>
        <v>PHBHH</v>
      </c>
      <c r="I312" t="str">
        <f>H312&amp;"_"&amp;E312</f>
        <v>PHBHH_45362</v>
      </c>
    </row>
    <row r="313" spans="1:9" x14ac:dyDescent="0.3">
      <c r="A313" s="2" t="s">
        <v>56</v>
      </c>
      <c r="B313" s="2">
        <v>587</v>
      </c>
      <c r="C313" s="2" t="s">
        <v>72</v>
      </c>
      <c r="D313" s="3">
        <v>45363</v>
      </c>
      <c r="E313" s="3">
        <v>45363</v>
      </c>
      <c r="F313" s="2" t="s">
        <v>58</v>
      </c>
      <c r="G313" s="2" t="s">
        <v>110</v>
      </c>
      <c r="H313" t="str">
        <f>"PH"&amp;MID(G313,IFERROR(FIND("PH-",G313)+3,IFERROR(FIND("ph-",G313)+3,IFERROR(FIND("PH",G313)+2,IFERROR(FIND("ph",G313)+2,0)))),3)</f>
        <v>PHAOB</v>
      </c>
      <c r="I313" t="str">
        <f>H313&amp;"_"&amp;E313</f>
        <v>PHAOB_45363</v>
      </c>
    </row>
    <row r="314" spans="1:9" x14ac:dyDescent="0.3">
      <c r="A314" s="2" t="s">
        <v>56</v>
      </c>
      <c r="B314" s="2">
        <v>689</v>
      </c>
      <c r="C314" s="2" t="s">
        <v>149</v>
      </c>
      <c r="D314" s="3">
        <v>45363</v>
      </c>
      <c r="E314" s="3">
        <v>45363</v>
      </c>
      <c r="F314" s="2" t="s">
        <v>58</v>
      </c>
      <c r="G314" s="2" t="s">
        <v>122</v>
      </c>
      <c r="H314" t="str">
        <f>"PH"&amp;MID(G314,IFERROR(FIND("PH-",G314)+3,IFERROR(FIND("ph-",G314)+3,IFERROR(FIND("PH",G314)+2,IFERROR(FIND("ph",G314)+2,0)))),3)</f>
        <v>PHBHM</v>
      </c>
      <c r="I314" t="str">
        <f>H314&amp;"_"&amp;E314</f>
        <v>PHBHM_45363</v>
      </c>
    </row>
    <row r="315" spans="1:9" x14ac:dyDescent="0.3">
      <c r="A315" s="2" t="s">
        <v>56</v>
      </c>
      <c r="B315" s="2">
        <v>877</v>
      </c>
      <c r="C315" s="2" t="s">
        <v>206</v>
      </c>
      <c r="D315" s="3">
        <v>45363</v>
      </c>
      <c r="E315" s="3">
        <v>45363</v>
      </c>
      <c r="F315" s="2" t="s">
        <v>58</v>
      </c>
      <c r="G315" s="2" t="s">
        <v>288</v>
      </c>
      <c r="H315" t="str">
        <f>"PH"&amp;MID(G315,IFERROR(FIND("PH-",G315)+3,IFERROR(FIND("ph-",G315)+3,IFERROR(FIND("PH",G315)+2,IFERROR(FIND("ph",G315)+2,0)))),3)</f>
        <v>PHBQD</v>
      </c>
      <c r="I315" t="str">
        <f>H315&amp;"_"&amp;E315</f>
        <v>PHBQD_45363</v>
      </c>
    </row>
    <row r="316" spans="1:9" x14ac:dyDescent="0.3">
      <c r="A316" s="2" t="s">
        <v>56</v>
      </c>
      <c r="B316" s="2">
        <v>861</v>
      </c>
      <c r="C316" s="2" t="s">
        <v>200</v>
      </c>
      <c r="D316" s="3">
        <v>45364</v>
      </c>
      <c r="E316" s="3">
        <v>45364</v>
      </c>
      <c r="F316" s="2" t="s">
        <v>58</v>
      </c>
      <c r="G316" s="2" t="s">
        <v>201</v>
      </c>
      <c r="H316" t="str">
        <f>"PH"&amp;MID(G316,IFERROR(FIND("PH-",G316)+3,IFERROR(FIND("ph-",G316)+3,IFERROR(FIND("PH",G316)+2,IFERROR(FIND("ph",G316)+2,0)))),3)</f>
        <v>PHBQD</v>
      </c>
      <c r="I316" t="str">
        <f>H316&amp;"_"&amp;E316</f>
        <v>PHBQD_45364</v>
      </c>
    </row>
    <row r="317" spans="1:9" x14ac:dyDescent="0.3">
      <c r="A317" s="2" t="s">
        <v>56</v>
      </c>
      <c r="B317" s="2">
        <v>879</v>
      </c>
      <c r="C317" s="2" t="s">
        <v>208</v>
      </c>
      <c r="D317" s="3">
        <v>45364</v>
      </c>
      <c r="E317" s="3">
        <v>45364</v>
      </c>
      <c r="F317" s="2" t="s">
        <v>58</v>
      </c>
      <c r="G317" s="2" t="s">
        <v>210</v>
      </c>
      <c r="H317" t="str">
        <f>"PH"&amp;MID(G317,IFERROR(FIND("PH-",G317)+3,IFERROR(FIND("ph-",G317)+3,IFERROR(FIND("PH",G317)+2,IFERROR(FIND("ph",G317)+2,0)))),3)</f>
        <v>PHBQD</v>
      </c>
      <c r="I317" t="str">
        <f>H317&amp;"_"&amp;E317</f>
        <v>PHBQD_45364</v>
      </c>
    </row>
    <row r="318" spans="1:9" x14ac:dyDescent="0.3">
      <c r="A318" s="2" t="s">
        <v>56</v>
      </c>
      <c r="B318" s="2">
        <v>623</v>
      </c>
      <c r="C318" s="2" t="s">
        <v>86</v>
      </c>
      <c r="D318" s="3">
        <v>45364</v>
      </c>
      <c r="E318" s="3">
        <v>45364</v>
      </c>
      <c r="F318" s="2" t="s">
        <v>58</v>
      </c>
      <c r="G318" s="2" t="s">
        <v>231</v>
      </c>
      <c r="H318" t="str">
        <f>"PH"&amp;MID(G318,IFERROR(FIND("PH-",G318)+3,IFERROR(FIND("ph-",G318)+3,IFERROR(FIND("PH",G318)+2,IFERROR(FIND("ph",G318)+2,0)))),3)</f>
        <v>PHAOB</v>
      </c>
      <c r="I318" t="str">
        <f>H318&amp;"_"&amp;E318</f>
        <v>PHAOB_45364</v>
      </c>
    </row>
    <row r="319" spans="1:9" x14ac:dyDescent="0.3">
      <c r="A319" s="2" t="s">
        <v>56</v>
      </c>
      <c r="B319" s="2">
        <v>425</v>
      </c>
      <c r="C319" s="2" t="s">
        <v>62</v>
      </c>
      <c r="D319" s="3">
        <v>45365</v>
      </c>
      <c r="E319" s="3">
        <v>45365</v>
      </c>
      <c r="F319" s="2" t="s">
        <v>58</v>
      </c>
      <c r="G319" s="2" t="s">
        <v>100</v>
      </c>
      <c r="H319" t="str">
        <f>"PH"&amp;MID(G319,IFERROR(FIND("PH-",G319)+3,IFERROR(FIND("ph-",G319)+3,IFERROR(FIND("PH",G319)+2,IFERROR(FIND("ph",G319)+2,0)))),3)</f>
        <v>PHAOB</v>
      </c>
      <c r="I319" t="str">
        <f>H319&amp;"_"&amp;E319</f>
        <v>PHAOB_45365</v>
      </c>
    </row>
    <row r="320" spans="1:9" x14ac:dyDescent="0.3">
      <c r="A320" s="2" t="s">
        <v>56</v>
      </c>
      <c r="B320" s="2">
        <v>661</v>
      </c>
      <c r="C320" s="2" t="s">
        <v>134</v>
      </c>
      <c r="D320" s="3">
        <v>45365</v>
      </c>
      <c r="E320" s="3">
        <v>45365</v>
      </c>
      <c r="F320" s="2" t="s">
        <v>58</v>
      </c>
      <c r="G320" s="2" t="s">
        <v>161</v>
      </c>
      <c r="H320" t="str">
        <f>"PH"&amp;MID(G320,IFERROR(FIND("PH-",G320)+3,IFERROR(FIND("ph-",G320)+3,IFERROR(FIND("PH",G320)+2,IFERROR(FIND("ph",G320)+2,0)))),3)</f>
        <v>PHBHM</v>
      </c>
      <c r="I320" t="str">
        <f>H320&amp;"_"&amp;E320</f>
        <v>PHBHM_45365</v>
      </c>
    </row>
    <row r="321" spans="1:9" x14ac:dyDescent="0.3">
      <c r="A321" s="2" t="s">
        <v>56</v>
      </c>
      <c r="B321" s="2">
        <v>681</v>
      </c>
      <c r="C321" s="2" t="s">
        <v>144</v>
      </c>
      <c r="D321" s="3">
        <v>45365</v>
      </c>
      <c r="E321" s="3">
        <v>45365</v>
      </c>
      <c r="F321" s="2" t="s">
        <v>58</v>
      </c>
      <c r="G321" s="2" t="s">
        <v>137</v>
      </c>
      <c r="H321" t="str">
        <f>"PH"&amp;MID(G321,IFERROR(FIND("PH-",G321)+3,IFERROR(FIND("ph-",G321)+3,IFERROR(FIND("PH",G321)+2,IFERROR(FIND("ph",G321)+2,0)))),3)</f>
        <v>PHAOB</v>
      </c>
      <c r="I321" t="str">
        <f>H321&amp;"_"&amp;E321</f>
        <v>PHAOB_45365</v>
      </c>
    </row>
    <row r="322" spans="1:9" x14ac:dyDescent="0.3">
      <c r="A322" s="2" t="s">
        <v>56</v>
      </c>
      <c r="B322" s="2">
        <v>787</v>
      </c>
      <c r="C322" s="2" t="s">
        <v>261</v>
      </c>
      <c r="D322" s="3">
        <v>45365</v>
      </c>
      <c r="E322" s="3">
        <v>45365</v>
      </c>
      <c r="F322" s="2" t="s">
        <v>58</v>
      </c>
      <c r="G322" s="2" t="s">
        <v>137</v>
      </c>
      <c r="H322" t="str">
        <f>"PH"&amp;MID(G322,IFERROR(FIND("PH-",G322)+3,IFERROR(FIND("ph-",G322)+3,IFERROR(FIND("PH",G322)+2,IFERROR(FIND("ph",G322)+2,0)))),3)</f>
        <v>PHAOB</v>
      </c>
      <c r="I322" t="str">
        <f>H322&amp;"_"&amp;E322</f>
        <v>PHAOB_45365</v>
      </c>
    </row>
    <row r="323" spans="1:9" x14ac:dyDescent="0.3">
      <c r="A323" s="2" t="s">
        <v>56</v>
      </c>
      <c r="B323" s="2">
        <v>671</v>
      </c>
      <c r="C323" s="2" t="s">
        <v>136</v>
      </c>
      <c r="D323" s="3">
        <v>45366</v>
      </c>
      <c r="E323" s="3">
        <v>45366</v>
      </c>
      <c r="F323" s="2" t="s">
        <v>58</v>
      </c>
      <c r="G323" s="2" t="s">
        <v>137</v>
      </c>
      <c r="H323" t="str">
        <f>"PH"&amp;MID(G323,IFERROR(FIND("PH-",G323)+3,IFERROR(FIND("ph-",G323)+3,IFERROR(FIND("PH",G323)+2,IFERROR(FIND("ph",G323)+2,0)))),3)</f>
        <v>PHAOB</v>
      </c>
      <c r="I323" t="str">
        <f>H323&amp;"_"&amp;E323</f>
        <v>PHAOB_45366</v>
      </c>
    </row>
    <row r="324" spans="1:9" x14ac:dyDescent="0.3">
      <c r="A324" s="2" t="s">
        <v>56</v>
      </c>
      <c r="B324" s="2">
        <v>677</v>
      </c>
      <c r="C324" s="2" t="s">
        <v>140</v>
      </c>
      <c r="D324" s="3">
        <v>45366</v>
      </c>
      <c r="E324" s="3">
        <v>45366</v>
      </c>
      <c r="F324" s="2" t="s">
        <v>58</v>
      </c>
      <c r="G324" s="2" t="s">
        <v>161</v>
      </c>
      <c r="H324" t="str">
        <f>"PH"&amp;MID(G324,IFERROR(FIND("PH-",G324)+3,IFERROR(FIND("ph-",G324)+3,IFERROR(FIND("PH",G324)+2,IFERROR(FIND("ph",G324)+2,0)))),3)</f>
        <v>PHBHM</v>
      </c>
      <c r="I324" t="str">
        <f>H324&amp;"_"&amp;E324</f>
        <v>PHBHM_45366</v>
      </c>
    </row>
    <row r="325" spans="1:9" x14ac:dyDescent="0.3">
      <c r="A325" s="2" t="s">
        <v>56</v>
      </c>
      <c r="B325" s="2">
        <v>685</v>
      </c>
      <c r="C325" s="2" t="s">
        <v>146</v>
      </c>
      <c r="D325" s="3">
        <v>45366</v>
      </c>
      <c r="E325" s="3">
        <v>45366</v>
      </c>
      <c r="F325" s="2" t="s">
        <v>58</v>
      </c>
      <c r="G325" s="2" t="s">
        <v>161</v>
      </c>
      <c r="H325" t="str">
        <f>"PH"&amp;MID(G325,IFERROR(FIND("PH-",G325)+3,IFERROR(FIND("ph-",G325)+3,IFERROR(FIND("PH",G325)+2,IFERROR(FIND("ph",G325)+2,0)))),3)</f>
        <v>PHBHM</v>
      </c>
      <c r="I325" t="str">
        <f>H325&amp;"_"&amp;E325</f>
        <v>PHBHM_45366</v>
      </c>
    </row>
    <row r="326" spans="1:9" x14ac:dyDescent="0.3">
      <c r="A326" s="2" t="s">
        <v>56</v>
      </c>
      <c r="B326" s="2">
        <v>661</v>
      </c>
      <c r="C326" s="2" t="s">
        <v>134</v>
      </c>
      <c r="D326" s="3">
        <v>45366</v>
      </c>
      <c r="E326" s="3">
        <v>45366</v>
      </c>
      <c r="F326" s="2" t="s">
        <v>58</v>
      </c>
      <c r="G326" s="2" t="s">
        <v>241</v>
      </c>
      <c r="H326" t="str">
        <f>"PH"&amp;MID(G326,IFERROR(FIND("PH-",G326)+3,IFERROR(FIND("ph-",G326)+3,IFERROR(FIND("PH",G326)+2,IFERROR(FIND("ph",G326)+2,0)))),3)</f>
        <v>PHBHM</v>
      </c>
      <c r="I326" t="str">
        <f>H326&amp;"_"&amp;E326</f>
        <v>PHBHM_45366</v>
      </c>
    </row>
    <row r="327" spans="1:9" x14ac:dyDescent="0.3">
      <c r="A327" s="2" t="s">
        <v>56</v>
      </c>
      <c r="B327" s="2">
        <v>777</v>
      </c>
      <c r="C327" s="2" t="s">
        <v>191</v>
      </c>
      <c r="D327" s="3">
        <v>45366</v>
      </c>
      <c r="E327" s="3">
        <v>45366</v>
      </c>
      <c r="F327" s="2" t="s">
        <v>58</v>
      </c>
      <c r="G327" s="2" t="s">
        <v>137</v>
      </c>
      <c r="H327" t="str">
        <f>"PH"&amp;MID(G327,IFERROR(FIND("PH-",G327)+3,IFERROR(FIND("ph-",G327)+3,IFERROR(FIND("PH",G327)+2,IFERROR(FIND("ph",G327)+2,0)))),3)</f>
        <v>PHAOB</v>
      </c>
      <c r="I327" t="str">
        <f>H327&amp;"_"&amp;E327</f>
        <v>PHAOB_45366</v>
      </c>
    </row>
    <row r="328" spans="1:9" x14ac:dyDescent="0.3">
      <c r="A328" s="2" t="s">
        <v>56</v>
      </c>
      <c r="B328" s="2">
        <v>681</v>
      </c>
      <c r="C328" s="2" t="s">
        <v>144</v>
      </c>
      <c r="D328" s="3">
        <v>45367</v>
      </c>
      <c r="E328" s="3">
        <v>45367</v>
      </c>
      <c r="F328" s="2" t="s">
        <v>58</v>
      </c>
      <c r="G328" s="2" t="s">
        <v>137</v>
      </c>
      <c r="H328" t="str">
        <f>"PH"&amp;MID(G328,IFERROR(FIND("PH-",G328)+3,IFERROR(FIND("ph-",G328)+3,IFERROR(FIND("PH",G328)+2,IFERROR(FIND("ph",G328)+2,0)))),3)</f>
        <v>PHAOB</v>
      </c>
      <c r="I328" t="str">
        <f>H328&amp;"_"&amp;E328</f>
        <v>PHAOB_45367</v>
      </c>
    </row>
    <row r="329" spans="1:9" x14ac:dyDescent="0.3">
      <c r="A329" s="2" t="s">
        <v>56</v>
      </c>
      <c r="B329" s="2">
        <v>695</v>
      </c>
      <c r="C329" s="2" t="s">
        <v>171</v>
      </c>
      <c r="D329" s="3">
        <v>45367</v>
      </c>
      <c r="E329" s="3">
        <v>45367</v>
      </c>
      <c r="F329" s="2" t="s">
        <v>58</v>
      </c>
      <c r="G329" s="2" t="s">
        <v>137</v>
      </c>
      <c r="H329" t="str">
        <f>"PH"&amp;MID(G329,IFERROR(FIND("PH-",G329)+3,IFERROR(FIND("ph-",G329)+3,IFERROR(FIND("PH",G329)+2,IFERROR(FIND("ph",G329)+2,0)))),3)</f>
        <v>PHAOB</v>
      </c>
      <c r="I329" t="str">
        <f>H329&amp;"_"&amp;E329</f>
        <v>PHAOB_45367</v>
      </c>
    </row>
    <row r="330" spans="1:9" x14ac:dyDescent="0.3">
      <c r="A330" s="2" t="s">
        <v>56</v>
      </c>
      <c r="B330" s="2">
        <v>701</v>
      </c>
      <c r="C330" s="2" t="s">
        <v>173</v>
      </c>
      <c r="D330" s="3">
        <v>45367</v>
      </c>
      <c r="E330" s="3">
        <v>45367</v>
      </c>
      <c r="F330" s="2" t="s">
        <v>58</v>
      </c>
      <c r="G330" s="2" t="s">
        <v>161</v>
      </c>
      <c r="H330" t="str">
        <f>"PH"&amp;MID(G330,IFERROR(FIND("PH-",G330)+3,IFERROR(FIND("ph-",G330)+3,IFERROR(FIND("PH",G330)+2,IFERROR(FIND("ph",G330)+2,0)))),3)</f>
        <v>PHBHM</v>
      </c>
      <c r="I330" t="str">
        <f>H330&amp;"_"&amp;E330</f>
        <v>PHBHM_45367</v>
      </c>
    </row>
    <row r="331" spans="1:9" x14ac:dyDescent="0.3">
      <c r="A331" s="2" t="s">
        <v>56</v>
      </c>
      <c r="B331" s="2">
        <v>671</v>
      </c>
      <c r="C331" s="2" t="s">
        <v>136</v>
      </c>
      <c r="D331" s="3">
        <v>45368</v>
      </c>
      <c r="E331" s="3">
        <v>45368</v>
      </c>
      <c r="F331" s="2" t="s">
        <v>58</v>
      </c>
      <c r="G331" s="2" t="s">
        <v>137</v>
      </c>
      <c r="H331" t="str">
        <f>"PH"&amp;MID(G331,IFERROR(FIND("PH-",G331)+3,IFERROR(FIND("ph-",G331)+3,IFERROR(FIND("PH",G331)+2,IFERROR(FIND("ph",G331)+2,0)))),3)</f>
        <v>PHAOB</v>
      </c>
      <c r="I331" t="str">
        <f>H331&amp;"_"&amp;E331</f>
        <v>PHAOB_45368</v>
      </c>
    </row>
    <row r="332" spans="1:9" x14ac:dyDescent="0.3">
      <c r="A332" s="2" t="s">
        <v>56</v>
      </c>
      <c r="B332" s="2">
        <v>677</v>
      </c>
      <c r="C332" s="2" t="s">
        <v>140</v>
      </c>
      <c r="D332" s="3">
        <v>45368</v>
      </c>
      <c r="E332" s="3">
        <v>45368</v>
      </c>
      <c r="F332" s="2" t="s">
        <v>58</v>
      </c>
      <c r="G332" s="2" t="s">
        <v>122</v>
      </c>
      <c r="H332" t="str">
        <f>"PH"&amp;MID(G332,IFERROR(FIND("PH-",G332)+3,IFERROR(FIND("ph-",G332)+3,IFERROR(FIND("PH",G332)+2,IFERROR(FIND("ph",G332)+2,0)))),3)</f>
        <v>PHBHM</v>
      </c>
      <c r="I332" t="str">
        <f>H332&amp;"_"&amp;E332</f>
        <v>PHBHM_45368</v>
      </c>
    </row>
    <row r="333" spans="1:9" x14ac:dyDescent="0.3">
      <c r="A333" s="2" t="s">
        <v>56</v>
      </c>
      <c r="B333" s="2">
        <v>685</v>
      </c>
      <c r="C333" s="2" t="s">
        <v>146</v>
      </c>
      <c r="D333" s="3">
        <v>45368</v>
      </c>
      <c r="E333" s="3">
        <v>45368</v>
      </c>
      <c r="F333" s="2" t="s">
        <v>58</v>
      </c>
      <c r="G333" s="2" t="s">
        <v>148</v>
      </c>
      <c r="H333" t="str">
        <f>"PH"&amp;MID(G333,IFERROR(FIND("PH-",G333)+3,IFERROR(FIND("ph-",G333)+3,IFERROR(FIND("PH",G333)+2,IFERROR(FIND("ph",G333)+2,0)))),3)</f>
        <v>PHBHG</v>
      </c>
      <c r="I333" t="str">
        <f>H333&amp;"_"&amp;E333</f>
        <v>PHBHG_45368</v>
      </c>
    </row>
    <row r="334" spans="1:9" x14ac:dyDescent="0.3">
      <c r="A334" s="2" t="s">
        <v>56</v>
      </c>
      <c r="B334" s="2">
        <v>651</v>
      </c>
      <c r="C334" s="2" t="s">
        <v>128</v>
      </c>
      <c r="D334" s="3">
        <v>45368</v>
      </c>
      <c r="E334" s="3">
        <v>45368</v>
      </c>
      <c r="F334" s="2" t="s">
        <v>58</v>
      </c>
      <c r="G334" s="2" t="s">
        <v>158</v>
      </c>
      <c r="H334" t="str">
        <f>"PH"&amp;MID(G334,IFERROR(FIND("PH-",G334)+3,IFERROR(FIND("ph-",G334)+3,IFERROR(FIND("PH",G334)+2,IFERROR(FIND("ph",G334)+2,0)))),3)</f>
        <v>PHAOB</v>
      </c>
      <c r="I334" t="str">
        <f>H334&amp;"_"&amp;E334</f>
        <v>PHAOB_45368</v>
      </c>
    </row>
    <row r="335" spans="1:9" x14ac:dyDescent="0.3">
      <c r="A335" s="2" t="s">
        <v>56</v>
      </c>
      <c r="B335" s="2">
        <v>537</v>
      </c>
      <c r="C335" s="2" t="s">
        <v>216</v>
      </c>
      <c r="D335" s="3">
        <v>45369</v>
      </c>
      <c r="E335" s="3">
        <v>45369</v>
      </c>
      <c r="F335" s="2" t="s">
        <v>58</v>
      </c>
      <c r="G335" s="2" t="s">
        <v>137</v>
      </c>
      <c r="H335" t="str">
        <f>"PH"&amp;MID(G335,IFERROR(FIND("PH-",G335)+3,IFERROR(FIND("ph-",G335)+3,IFERROR(FIND("PH",G335)+2,IFERROR(FIND("ph",G335)+2,0)))),3)</f>
        <v>PHAOB</v>
      </c>
      <c r="I335" t="str">
        <f>H335&amp;"_"&amp;E335</f>
        <v>PHAOB_45369</v>
      </c>
    </row>
    <row r="336" spans="1:9" x14ac:dyDescent="0.3">
      <c r="A336" s="2" t="s">
        <v>56</v>
      </c>
      <c r="B336" s="2">
        <v>685</v>
      </c>
      <c r="C336" s="2" t="s">
        <v>146</v>
      </c>
      <c r="D336" s="3">
        <v>45369</v>
      </c>
      <c r="E336" s="3">
        <v>45369</v>
      </c>
      <c r="F336" s="2" t="s">
        <v>58</v>
      </c>
      <c r="G336" s="2" t="s">
        <v>122</v>
      </c>
      <c r="H336" t="str">
        <f>"PH"&amp;MID(G336,IFERROR(FIND("PH-",G336)+3,IFERROR(FIND("ph-",G336)+3,IFERROR(FIND("PH",G336)+2,IFERROR(FIND("ph",G336)+2,0)))),3)</f>
        <v>PHBHM</v>
      </c>
      <c r="I336" t="str">
        <f>H336&amp;"_"&amp;E336</f>
        <v>PHBHM_45369</v>
      </c>
    </row>
    <row r="337" spans="1:9" x14ac:dyDescent="0.3">
      <c r="A337" s="2" t="s">
        <v>56</v>
      </c>
      <c r="B337" s="2">
        <v>867</v>
      </c>
      <c r="C337" s="2" t="s">
        <v>202</v>
      </c>
      <c r="D337" s="3">
        <v>45369</v>
      </c>
      <c r="E337" s="3">
        <v>45369</v>
      </c>
      <c r="F337" s="2" t="s">
        <v>58</v>
      </c>
      <c r="G337" s="2" t="s">
        <v>277</v>
      </c>
      <c r="H337" t="str">
        <f>"PH"&amp;MID(G337,IFERROR(FIND("PH-",G337)+3,IFERROR(FIND("ph-",G337)+3,IFERROR(FIND("PH",G337)+2,IFERROR(FIND("ph",G337)+2,0)))),3)</f>
        <v>PHBHI</v>
      </c>
      <c r="I337" t="str">
        <f>H337&amp;"_"&amp;E337</f>
        <v>PHBHI_45369</v>
      </c>
    </row>
    <row r="338" spans="1:9" x14ac:dyDescent="0.3">
      <c r="A338" s="2" t="s">
        <v>56</v>
      </c>
      <c r="B338" s="2">
        <v>539</v>
      </c>
      <c r="C338" s="2" t="s">
        <v>64</v>
      </c>
      <c r="D338" s="3">
        <v>45370</v>
      </c>
      <c r="E338" s="3">
        <v>45370</v>
      </c>
      <c r="F338" s="2" t="s">
        <v>58</v>
      </c>
      <c r="G338" s="2" t="s">
        <v>65</v>
      </c>
      <c r="H338" t="str">
        <f>"PH"&amp;MID(G338,IFERROR(FIND("PH-",G338)+3,IFERROR(FIND("ph-",G338)+3,IFERROR(FIND("PH",G338)+2,IFERROR(FIND("ph",G338)+2,0)))),3)</f>
        <v>PHAOB</v>
      </c>
      <c r="I338" t="str">
        <f>H338&amp;"_"&amp;E338</f>
        <v>PHAOB_45370</v>
      </c>
    </row>
    <row r="339" spans="1:9" x14ac:dyDescent="0.3">
      <c r="A339" s="2" t="s">
        <v>56</v>
      </c>
      <c r="B339" s="2">
        <v>777</v>
      </c>
      <c r="C339" s="2" t="s">
        <v>191</v>
      </c>
      <c r="D339" s="3">
        <v>45370</v>
      </c>
      <c r="E339" s="3">
        <v>45370</v>
      </c>
      <c r="F339" s="2" t="s">
        <v>58</v>
      </c>
      <c r="G339" s="2" t="s">
        <v>260</v>
      </c>
      <c r="H339" t="str">
        <f>"PH"&amp;MID(G339,IFERROR(FIND("PH-",G339)+3,IFERROR(FIND("ph-",G339)+3,IFERROR(FIND("PH",G339)+2,IFERROR(FIND("ph",G339)+2,0)))),3)</f>
        <v>PHAOB</v>
      </c>
      <c r="I339" t="str">
        <f>H339&amp;"_"&amp;E339</f>
        <v>PHAOB_45370</v>
      </c>
    </row>
    <row r="340" spans="1:9" x14ac:dyDescent="0.3">
      <c r="A340" s="2" t="s">
        <v>56</v>
      </c>
      <c r="B340" s="2">
        <v>701</v>
      </c>
      <c r="C340" s="2" t="s">
        <v>173</v>
      </c>
      <c r="D340" s="3">
        <v>45370</v>
      </c>
      <c r="E340" s="3">
        <v>45370</v>
      </c>
      <c r="F340" s="2" t="s">
        <v>58</v>
      </c>
      <c r="G340" s="2" t="s">
        <v>95</v>
      </c>
      <c r="H340" t="str">
        <f>"PH"&amp;MID(G340,IFERROR(FIND("PH-",G340)+3,IFERROR(FIND("ph-",G340)+3,IFERROR(FIND("PH",G340)+2,IFERROR(FIND("ph",G340)+2,0)))),3)</f>
        <v>PHBHI</v>
      </c>
      <c r="I340" t="str">
        <f>H340&amp;"_"&amp;E340</f>
        <v>PHBHI_45370</v>
      </c>
    </row>
    <row r="341" spans="1:9" x14ac:dyDescent="0.3">
      <c r="A341" s="2" t="s">
        <v>56</v>
      </c>
      <c r="B341" s="2">
        <v>809</v>
      </c>
      <c r="C341" s="2" t="s">
        <v>194</v>
      </c>
      <c r="D341" s="3">
        <v>45370</v>
      </c>
      <c r="E341" s="3">
        <v>45370</v>
      </c>
      <c r="F341" s="2" t="s">
        <v>58</v>
      </c>
      <c r="G341" s="2" t="s">
        <v>122</v>
      </c>
      <c r="H341" t="str">
        <f>"PH"&amp;MID(G341,IFERROR(FIND("PH-",G341)+3,IFERROR(FIND("ph-",G341)+3,IFERROR(FIND("PH",G341)+2,IFERROR(FIND("ph",G341)+2,0)))),3)</f>
        <v>PHBHM</v>
      </c>
      <c r="I341" t="str">
        <f>H341&amp;"_"&amp;E341</f>
        <v>PHBHM_45370</v>
      </c>
    </row>
    <row r="342" spans="1:9" x14ac:dyDescent="0.3">
      <c r="A342" s="2" t="s">
        <v>56</v>
      </c>
      <c r="B342" s="2">
        <v>701</v>
      </c>
      <c r="C342" s="2" t="s">
        <v>173</v>
      </c>
      <c r="D342" s="3">
        <v>45371</v>
      </c>
      <c r="E342" s="3">
        <v>45371</v>
      </c>
      <c r="F342" s="2" t="s">
        <v>58</v>
      </c>
      <c r="G342" s="2" t="s">
        <v>176</v>
      </c>
      <c r="H342" t="str">
        <f>"PH"&amp;MID(G342,IFERROR(FIND("PH-",G342)+3,IFERROR(FIND("ph-",G342)+3,IFERROR(FIND("PH",G342)+2,IFERROR(FIND("ph",G342)+2,0)))),3)</f>
        <v>PHBHF</v>
      </c>
      <c r="I342" t="str">
        <f>H342&amp;"_"&amp;E342</f>
        <v>PHBHF_45371</v>
      </c>
    </row>
    <row r="343" spans="1:9" x14ac:dyDescent="0.3">
      <c r="A343" s="2" t="s">
        <v>56</v>
      </c>
      <c r="B343" s="2">
        <v>681</v>
      </c>
      <c r="C343" s="2" t="s">
        <v>144</v>
      </c>
      <c r="D343" s="3">
        <v>45371</v>
      </c>
      <c r="E343" s="3">
        <v>45371</v>
      </c>
      <c r="F343" s="2" t="s">
        <v>58</v>
      </c>
      <c r="G343" s="2" t="s">
        <v>160</v>
      </c>
      <c r="H343" t="str">
        <f>"PH"&amp;MID(G343,IFERROR(FIND("PH-",G343)+3,IFERROR(FIND("ph-",G343)+3,IFERROR(FIND("PH",G343)+2,IFERROR(FIND("ph",G343)+2,0)))),3)</f>
        <v>PHAOB</v>
      </c>
      <c r="I343" t="str">
        <f>H343&amp;"_"&amp;E343</f>
        <v>PHAOB_45371</v>
      </c>
    </row>
    <row r="344" spans="1:9" x14ac:dyDescent="0.3">
      <c r="A344" s="2" t="s">
        <v>56</v>
      </c>
      <c r="B344" s="2">
        <v>809</v>
      </c>
      <c r="C344" s="2" t="s">
        <v>194</v>
      </c>
      <c r="D344" s="3">
        <v>45371</v>
      </c>
      <c r="E344" s="3">
        <v>45371</v>
      </c>
      <c r="F344" s="2" t="s">
        <v>58</v>
      </c>
      <c r="G344" s="2" t="s">
        <v>279</v>
      </c>
      <c r="H344" t="str">
        <f>"PH"&amp;MID(G344,IFERROR(FIND("PH-",G344)+3,IFERROR(FIND("ph-",G344)+3,IFERROR(FIND("PH",G344)+2,IFERROR(FIND("ph",G344)+2,0)))),3)</f>
        <v>PHBHF</v>
      </c>
      <c r="I344" t="str">
        <f>H344&amp;"_"&amp;E344</f>
        <v>PHBHF_45371</v>
      </c>
    </row>
    <row r="345" spans="1:9" x14ac:dyDescent="0.3">
      <c r="A345" s="2" t="s">
        <v>56</v>
      </c>
      <c r="B345" s="2">
        <v>685</v>
      </c>
      <c r="C345" s="2" t="s">
        <v>146</v>
      </c>
      <c r="D345" s="3">
        <v>45372</v>
      </c>
      <c r="E345" s="3">
        <v>45372</v>
      </c>
      <c r="F345" s="2" t="s">
        <v>58</v>
      </c>
      <c r="G345" s="2" t="s">
        <v>95</v>
      </c>
      <c r="H345" t="str">
        <f>"PH"&amp;MID(G345,IFERROR(FIND("PH-",G345)+3,IFERROR(FIND("ph-",G345)+3,IFERROR(FIND("PH",G345)+2,IFERROR(FIND("ph",G345)+2,0)))),3)</f>
        <v>PHBHI</v>
      </c>
      <c r="I345" t="str">
        <f>H345&amp;"_"&amp;E345</f>
        <v>PHBHI_45372</v>
      </c>
    </row>
    <row r="346" spans="1:9" x14ac:dyDescent="0.3">
      <c r="A346" s="2" t="s">
        <v>56</v>
      </c>
      <c r="B346" s="2">
        <v>667</v>
      </c>
      <c r="C346" s="2" t="s">
        <v>135</v>
      </c>
      <c r="D346" s="3">
        <v>45372</v>
      </c>
      <c r="E346" s="3">
        <v>45372</v>
      </c>
      <c r="F346" s="2" t="s">
        <v>58</v>
      </c>
      <c r="G346" s="2" t="s">
        <v>122</v>
      </c>
      <c r="H346" t="str">
        <f>"PH"&amp;MID(G346,IFERROR(FIND("PH-",G346)+3,IFERROR(FIND("ph-",G346)+3,IFERROR(FIND("PH",G346)+2,IFERROR(FIND("ph",G346)+2,0)))),3)</f>
        <v>PHBHM</v>
      </c>
      <c r="I346" t="str">
        <f>H346&amp;"_"&amp;E346</f>
        <v>PHBHM_45372</v>
      </c>
    </row>
    <row r="347" spans="1:9" x14ac:dyDescent="0.3">
      <c r="A347" s="2" t="s">
        <v>56</v>
      </c>
      <c r="B347" s="2">
        <v>681</v>
      </c>
      <c r="C347" s="2" t="s">
        <v>144</v>
      </c>
      <c r="D347" s="3">
        <v>45372</v>
      </c>
      <c r="E347" s="3">
        <v>45372</v>
      </c>
      <c r="F347" s="2" t="s">
        <v>58</v>
      </c>
      <c r="G347" s="2" t="s">
        <v>160</v>
      </c>
      <c r="H347" t="str">
        <f>"PH"&amp;MID(G347,IFERROR(FIND("PH-",G347)+3,IFERROR(FIND("ph-",G347)+3,IFERROR(FIND("PH",G347)+2,IFERROR(FIND("ph",G347)+2,0)))),3)</f>
        <v>PHAOB</v>
      </c>
      <c r="I347" t="str">
        <f>H347&amp;"_"&amp;E347</f>
        <v>PHAOB_45372</v>
      </c>
    </row>
    <row r="348" spans="1:9" x14ac:dyDescent="0.3">
      <c r="A348" s="2" t="s">
        <v>56</v>
      </c>
      <c r="B348" s="2">
        <v>617</v>
      </c>
      <c r="C348" s="2" t="s">
        <v>82</v>
      </c>
      <c r="D348" s="3">
        <v>45373</v>
      </c>
      <c r="E348" s="3">
        <v>45373</v>
      </c>
      <c r="F348" s="2" t="s">
        <v>58</v>
      </c>
      <c r="G348" s="2" t="s">
        <v>117</v>
      </c>
      <c r="H348" t="str">
        <f>"PH"&amp;MID(G348,IFERROR(FIND("PH-",G348)+3,IFERROR(FIND("ph-",G348)+3,IFERROR(FIND("PH",G348)+2,IFERROR(FIND("ph",G348)+2,0)))),3)</f>
        <v>PHBHM</v>
      </c>
      <c r="I348" t="str">
        <f>H348&amp;"_"&amp;E348</f>
        <v>PHBHM_45373</v>
      </c>
    </row>
    <row r="349" spans="1:9" x14ac:dyDescent="0.3">
      <c r="A349" s="2" t="s">
        <v>56</v>
      </c>
      <c r="B349" s="2">
        <v>671</v>
      </c>
      <c r="C349" s="2" t="s">
        <v>136</v>
      </c>
      <c r="D349" s="3">
        <v>45373</v>
      </c>
      <c r="E349" s="3">
        <v>45373</v>
      </c>
      <c r="F349" s="2" t="s">
        <v>58</v>
      </c>
      <c r="G349" s="2" t="s">
        <v>137</v>
      </c>
      <c r="H349" t="str">
        <f>"PH"&amp;MID(G349,IFERROR(FIND("PH-",G349)+3,IFERROR(FIND("ph-",G349)+3,IFERROR(FIND("PH",G349)+2,IFERROR(FIND("ph",G349)+2,0)))),3)</f>
        <v>PHAOB</v>
      </c>
      <c r="I349" t="str">
        <f>H349&amp;"_"&amp;E349</f>
        <v>PHAOB_45373</v>
      </c>
    </row>
    <row r="350" spans="1:9" x14ac:dyDescent="0.3">
      <c r="A350" s="2" t="s">
        <v>56</v>
      </c>
      <c r="B350" s="2">
        <v>677</v>
      </c>
      <c r="C350" s="2" t="s">
        <v>140</v>
      </c>
      <c r="D350" s="3">
        <v>45373</v>
      </c>
      <c r="E350" s="3">
        <v>45373</v>
      </c>
      <c r="F350" s="2" t="s">
        <v>58</v>
      </c>
      <c r="G350" s="2" t="s">
        <v>122</v>
      </c>
      <c r="H350" t="str">
        <f>"PH"&amp;MID(G350,IFERROR(FIND("PH-",G350)+3,IFERROR(FIND("ph-",G350)+3,IFERROR(FIND("PH",G350)+2,IFERROR(FIND("ph",G350)+2,0)))),3)</f>
        <v>PHBHM</v>
      </c>
      <c r="I350" t="str">
        <f>H350&amp;"_"&amp;E350</f>
        <v>PHBHM_45373</v>
      </c>
    </row>
    <row r="351" spans="1:9" x14ac:dyDescent="0.3">
      <c r="A351" s="2" t="s">
        <v>56</v>
      </c>
      <c r="B351" s="2">
        <v>701</v>
      </c>
      <c r="C351" s="2" t="s">
        <v>173</v>
      </c>
      <c r="D351" s="3">
        <v>45373</v>
      </c>
      <c r="E351" s="3">
        <v>45373</v>
      </c>
      <c r="F351" s="2" t="s">
        <v>58</v>
      </c>
      <c r="G351" s="2" t="s">
        <v>95</v>
      </c>
      <c r="H351" t="str">
        <f>"PH"&amp;MID(G351,IFERROR(FIND("PH-",G351)+3,IFERROR(FIND("ph-",G351)+3,IFERROR(FIND("PH",G351)+2,IFERROR(FIND("ph",G351)+2,0)))),3)</f>
        <v>PHBHI</v>
      </c>
      <c r="I351" t="str">
        <f>H351&amp;"_"&amp;E351</f>
        <v>PHBHI_45373</v>
      </c>
    </row>
    <row r="352" spans="1:9" x14ac:dyDescent="0.3">
      <c r="A352" s="2" t="s">
        <v>56</v>
      </c>
      <c r="B352" s="2">
        <v>807</v>
      </c>
      <c r="C352" s="2" t="s">
        <v>193</v>
      </c>
      <c r="D352" s="3">
        <v>45373</v>
      </c>
      <c r="E352" s="3">
        <v>45373</v>
      </c>
      <c r="F352" s="2" t="s">
        <v>58</v>
      </c>
      <c r="G352" s="2" t="s">
        <v>95</v>
      </c>
      <c r="H352" t="str">
        <f>"PH"&amp;MID(G352,IFERROR(FIND("PH-",G352)+3,IFERROR(FIND("ph-",G352)+3,IFERROR(FIND("PH",G352)+2,IFERROR(FIND("ph",G352)+2,0)))),3)</f>
        <v>PHBHI</v>
      </c>
      <c r="I352" t="str">
        <f>H352&amp;"_"&amp;E352</f>
        <v>PHBHI_45373</v>
      </c>
    </row>
    <row r="353" spans="1:9" x14ac:dyDescent="0.3">
      <c r="A353" s="2" t="s">
        <v>56</v>
      </c>
      <c r="B353" s="2">
        <v>897</v>
      </c>
      <c r="C353" s="2" t="s">
        <v>214</v>
      </c>
      <c r="D353" s="3">
        <v>45373</v>
      </c>
      <c r="E353" s="3">
        <v>45373</v>
      </c>
      <c r="F353" s="2" t="s">
        <v>58</v>
      </c>
      <c r="G353" s="2" t="s">
        <v>292</v>
      </c>
      <c r="H353" t="str">
        <f>"PH"&amp;MID(G353,IFERROR(FIND("PH-",G353)+3,IFERROR(FIND("ph-",G353)+3,IFERROR(FIND("PH",G353)+2,IFERROR(FIND("ph",G353)+2,0)))),3)</f>
        <v>PHBHF</v>
      </c>
      <c r="I353" t="str">
        <f>H353&amp;"_"&amp;E353</f>
        <v>PHBHF_45373</v>
      </c>
    </row>
    <row r="354" spans="1:9" x14ac:dyDescent="0.3">
      <c r="A354" s="2" t="s">
        <v>56</v>
      </c>
      <c r="B354" s="2">
        <v>667</v>
      </c>
      <c r="C354" s="2" t="s">
        <v>135</v>
      </c>
      <c r="D354" s="3">
        <v>45374</v>
      </c>
      <c r="E354" s="3">
        <v>45374</v>
      </c>
      <c r="F354" s="2" t="s">
        <v>58</v>
      </c>
      <c r="G354" s="2" t="s">
        <v>117</v>
      </c>
      <c r="H354" t="str">
        <f>"PH"&amp;MID(G354,IFERROR(FIND("PH-",G354)+3,IFERROR(FIND("ph-",G354)+3,IFERROR(FIND("PH",G354)+2,IFERROR(FIND("ph",G354)+2,0)))),3)</f>
        <v>PHBHM</v>
      </c>
      <c r="I354" t="str">
        <f>H354&amp;"_"&amp;E354</f>
        <v>PHBHM_45374</v>
      </c>
    </row>
    <row r="355" spans="1:9" x14ac:dyDescent="0.3">
      <c r="A355" s="2" t="s">
        <v>56</v>
      </c>
      <c r="B355" s="2">
        <v>681</v>
      </c>
      <c r="C355" s="2" t="s">
        <v>144</v>
      </c>
      <c r="D355" s="3">
        <v>45374</v>
      </c>
      <c r="E355" s="3">
        <v>45374</v>
      </c>
      <c r="F355" s="2" t="s">
        <v>58</v>
      </c>
      <c r="G355" s="2" t="s">
        <v>137</v>
      </c>
      <c r="H355" t="str">
        <f>"PH"&amp;MID(G355,IFERROR(FIND("PH-",G355)+3,IFERROR(FIND("ph-",G355)+3,IFERROR(FIND("PH",G355)+2,IFERROR(FIND("ph",G355)+2,0)))),3)</f>
        <v>PHAOB</v>
      </c>
      <c r="I355" t="str">
        <f>H355&amp;"_"&amp;E355</f>
        <v>PHAOB_45374</v>
      </c>
    </row>
    <row r="356" spans="1:9" x14ac:dyDescent="0.3">
      <c r="A356" s="2" t="s">
        <v>56</v>
      </c>
      <c r="B356" s="2">
        <v>705</v>
      </c>
      <c r="C356" s="2" t="s">
        <v>177</v>
      </c>
      <c r="D356" s="3">
        <v>45374</v>
      </c>
      <c r="E356" s="3">
        <v>45374</v>
      </c>
      <c r="F356" s="2" t="s">
        <v>58</v>
      </c>
      <c r="G356" s="2" t="s">
        <v>95</v>
      </c>
      <c r="H356" t="str">
        <f>"PH"&amp;MID(G356,IFERROR(FIND("PH-",G356)+3,IFERROR(FIND("ph-",G356)+3,IFERROR(FIND("PH",G356)+2,IFERROR(FIND("ph",G356)+2,0)))),3)</f>
        <v>PHBHI</v>
      </c>
      <c r="I356" t="str">
        <f>H356&amp;"_"&amp;E356</f>
        <v>PHBHI_45374</v>
      </c>
    </row>
    <row r="357" spans="1:9" x14ac:dyDescent="0.3">
      <c r="A357" s="2" t="s">
        <v>56</v>
      </c>
      <c r="B357" s="2">
        <v>809</v>
      </c>
      <c r="C357" s="2" t="s">
        <v>194</v>
      </c>
      <c r="D357" s="3">
        <v>45374</v>
      </c>
      <c r="E357" s="3">
        <v>45374</v>
      </c>
      <c r="F357" s="2" t="s">
        <v>58</v>
      </c>
      <c r="G357" s="2" t="s">
        <v>197</v>
      </c>
      <c r="H357" t="str">
        <f>"PH"&amp;MID(G357,IFERROR(FIND("PH-",G357)+3,IFERROR(FIND("ph-",G357)+3,IFERROR(FIND("PH",G357)+2,IFERROR(FIND("ph",G357)+2,0)))),3)</f>
        <v>PHBHF</v>
      </c>
      <c r="I357" t="str">
        <f>H357&amp;"_"&amp;E357</f>
        <v>PHBHF_45374</v>
      </c>
    </row>
    <row r="358" spans="1:9" x14ac:dyDescent="0.3">
      <c r="A358" s="2" t="s">
        <v>56</v>
      </c>
      <c r="B358" s="2">
        <v>587</v>
      </c>
      <c r="C358" s="2" t="s">
        <v>72</v>
      </c>
      <c r="D358" s="3">
        <v>45375</v>
      </c>
      <c r="E358" s="3">
        <v>45375</v>
      </c>
      <c r="F358" s="2" t="s">
        <v>58</v>
      </c>
      <c r="G358" s="2" t="s">
        <v>73</v>
      </c>
      <c r="H358" t="str">
        <f>"PH"&amp;MID(G358,IFERROR(FIND("PH-",G358)+3,IFERROR(FIND("ph-",G358)+3,IFERROR(FIND("PH",G358)+2,IFERROR(FIND("ph",G358)+2,0)))),3)</f>
        <v>PHAOD</v>
      </c>
      <c r="I358" t="str">
        <f>H358&amp;"_"&amp;E358</f>
        <v>PHAOD_45375</v>
      </c>
    </row>
    <row r="359" spans="1:9" x14ac:dyDescent="0.3">
      <c r="A359" s="2" t="s">
        <v>56</v>
      </c>
      <c r="B359" s="2">
        <v>635</v>
      </c>
      <c r="C359" s="2" t="s">
        <v>91</v>
      </c>
      <c r="D359" s="3">
        <v>45375</v>
      </c>
      <c r="E359" s="3">
        <v>45375</v>
      </c>
      <c r="F359" s="2" t="s">
        <v>58</v>
      </c>
      <c r="G359" s="2" t="s">
        <v>95</v>
      </c>
      <c r="H359" t="str">
        <f>"PH"&amp;MID(G359,IFERROR(FIND("PH-",G359)+3,IFERROR(FIND("ph-",G359)+3,IFERROR(FIND("PH",G359)+2,IFERROR(FIND("ph",G359)+2,0)))),3)</f>
        <v>PHBHI</v>
      </c>
      <c r="I359" t="str">
        <f>H359&amp;"_"&amp;E359</f>
        <v>PHBHI_45375</v>
      </c>
    </row>
    <row r="360" spans="1:9" x14ac:dyDescent="0.3">
      <c r="A360" s="2" t="s">
        <v>56</v>
      </c>
      <c r="B360" s="2">
        <v>693</v>
      </c>
      <c r="C360" s="2" t="s">
        <v>154</v>
      </c>
      <c r="D360" s="3">
        <v>45375</v>
      </c>
      <c r="E360" s="3">
        <v>45375</v>
      </c>
      <c r="F360" s="2" t="s">
        <v>58</v>
      </c>
      <c r="G360" s="2" t="s">
        <v>155</v>
      </c>
      <c r="H360" t="str">
        <f>"PH"&amp;MID(G360,IFERROR(FIND("PH-",G360)+3,IFERROR(FIND("ph-",G360)+3,IFERROR(FIND("PH",G360)+2,IFERROR(FIND("ph",G360)+2,0)))),3)</f>
        <v>PHAOB</v>
      </c>
      <c r="I360" t="str">
        <f>H360&amp;"_"&amp;E360</f>
        <v>PHAOB_45375</v>
      </c>
    </row>
    <row r="361" spans="1:9" x14ac:dyDescent="0.3">
      <c r="A361" s="2" t="s">
        <v>56</v>
      </c>
      <c r="B361" s="2">
        <v>655</v>
      </c>
      <c r="C361" s="2" t="s">
        <v>131</v>
      </c>
      <c r="D361" s="3">
        <v>45375</v>
      </c>
      <c r="E361" s="3">
        <v>45375</v>
      </c>
      <c r="F361" s="2" t="s">
        <v>58</v>
      </c>
      <c r="G361" s="2" t="s">
        <v>160</v>
      </c>
      <c r="H361" t="str">
        <f>"PH"&amp;MID(G361,IFERROR(FIND("PH-",G361)+3,IFERROR(FIND("ph-",G361)+3,IFERROR(FIND("PH",G361)+2,IFERROR(FIND("ph",G361)+2,0)))),3)</f>
        <v>PHAOB</v>
      </c>
      <c r="I361" t="str">
        <f>H361&amp;"_"&amp;E361</f>
        <v>PHAOB_45375</v>
      </c>
    </row>
    <row r="362" spans="1:9" x14ac:dyDescent="0.3">
      <c r="A362" s="2" t="s">
        <v>56</v>
      </c>
      <c r="B362" s="2">
        <v>535</v>
      </c>
      <c r="C362" s="2" t="s">
        <v>103</v>
      </c>
      <c r="D362" s="3">
        <v>45375</v>
      </c>
      <c r="E362" s="3">
        <v>45375</v>
      </c>
      <c r="F362" s="2" t="s">
        <v>58</v>
      </c>
      <c r="G362" s="2" t="s">
        <v>155</v>
      </c>
      <c r="H362" t="str">
        <f>"PH"&amp;MID(G362,IFERROR(FIND("PH-",G362)+3,IFERROR(FIND("ph-",G362)+3,IFERROR(FIND("PH",G362)+2,IFERROR(FIND("ph",G362)+2,0)))),3)</f>
        <v>PHAOB</v>
      </c>
      <c r="I362" t="str">
        <f>H362&amp;"_"&amp;E362</f>
        <v>PHAOB_45375</v>
      </c>
    </row>
    <row r="363" spans="1:9" x14ac:dyDescent="0.3">
      <c r="A363" s="2" t="s">
        <v>56</v>
      </c>
      <c r="B363" s="2">
        <v>677</v>
      </c>
      <c r="C363" s="2" t="s">
        <v>140</v>
      </c>
      <c r="D363" s="3">
        <v>45375</v>
      </c>
      <c r="E363" s="3">
        <v>45375</v>
      </c>
      <c r="F363" s="2" t="s">
        <v>58</v>
      </c>
      <c r="G363" s="2" t="s">
        <v>122</v>
      </c>
      <c r="H363" t="str">
        <f>"PH"&amp;MID(G363,IFERROR(FIND("PH-",G363)+3,IFERROR(FIND("ph-",G363)+3,IFERROR(FIND("PH",G363)+2,IFERROR(FIND("ph",G363)+2,0)))),3)</f>
        <v>PHBHM</v>
      </c>
      <c r="I363" t="str">
        <f>H363&amp;"_"&amp;E363</f>
        <v>PHBHM_45375</v>
      </c>
    </row>
    <row r="364" spans="1:9" x14ac:dyDescent="0.3">
      <c r="A364" s="2" t="s">
        <v>56</v>
      </c>
      <c r="B364" s="2">
        <v>425</v>
      </c>
      <c r="C364" s="2" t="s">
        <v>62</v>
      </c>
      <c r="D364" s="3">
        <v>45376</v>
      </c>
      <c r="E364" s="3">
        <v>45376</v>
      </c>
      <c r="F364" s="2" t="s">
        <v>58</v>
      </c>
      <c r="G364" s="2" t="s">
        <v>101</v>
      </c>
      <c r="H364" t="str">
        <f>"PH"&amp;MID(G364,IFERROR(FIND("PH-",G364)+3,IFERROR(FIND("ph-",G364)+3,IFERROR(FIND("PH",G364)+2,IFERROR(FIND("ph",G364)+2,0)))),3)</f>
        <v>PHAOD</v>
      </c>
      <c r="I364" t="str">
        <f>H364&amp;"_"&amp;E364</f>
        <v>PHAOD_45376</v>
      </c>
    </row>
    <row r="365" spans="1:9" x14ac:dyDescent="0.3">
      <c r="A365" s="2" t="s">
        <v>56</v>
      </c>
      <c r="B365" s="2">
        <v>685</v>
      </c>
      <c r="C365" s="2" t="s">
        <v>146</v>
      </c>
      <c r="D365" s="3">
        <v>45376</v>
      </c>
      <c r="E365" s="3">
        <v>45376</v>
      </c>
      <c r="F365" s="2" t="s">
        <v>58</v>
      </c>
      <c r="G365" s="2" t="s">
        <v>95</v>
      </c>
      <c r="H365" t="str">
        <f>"PH"&amp;MID(G365,IFERROR(FIND("PH-",G365)+3,IFERROR(FIND("ph-",G365)+3,IFERROR(FIND("PH",G365)+2,IFERROR(FIND("ph",G365)+2,0)))),3)</f>
        <v>PHBHI</v>
      </c>
      <c r="I365" t="str">
        <f>H365&amp;"_"&amp;E365</f>
        <v>PHBHI_45376</v>
      </c>
    </row>
    <row r="366" spans="1:9" x14ac:dyDescent="0.3">
      <c r="A366" s="2" t="s">
        <v>56</v>
      </c>
      <c r="B366" s="2">
        <v>651</v>
      </c>
      <c r="C366" s="2" t="s">
        <v>128</v>
      </c>
      <c r="D366" s="3">
        <v>45376</v>
      </c>
      <c r="E366" s="3">
        <v>45376</v>
      </c>
      <c r="F366" s="2" t="s">
        <v>58</v>
      </c>
      <c r="G366" s="2" t="s">
        <v>159</v>
      </c>
      <c r="H366" t="str">
        <f>"PH"&amp;MID(G366,IFERROR(FIND("PH-",G366)+3,IFERROR(FIND("ph-",G366)+3,IFERROR(FIND("PH",G366)+2,IFERROR(FIND("ph",G366)+2,0)))),3)</f>
        <v>PHAOD</v>
      </c>
      <c r="I366" t="str">
        <f>H366&amp;"_"&amp;E366</f>
        <v>PHAOD_45376</v>
      </c>
    </row>
    <row r="367" spans="1:9" x14ac:dyDescent="0.3">
      <c r="A367" s="2" t="s">
        <v>56</v>
      </c>
      <c r="B367" s="2">
        <v>897</v>
      </c>
      <c r="C367" s="2" t="s">
        <v>214</v>
      </c>
      <c r="D367" s="3">
        <v>45376</v>
      </c>
      <c r="E367" s="3">
        <v>45376</v>
      </c>
      <c r="F367" s="2" t="s">
        <v>58</v>
      </c>
      <c r="G367" s="2" t="s">
        <v>291</v>
      </c>
      <c r="H367" t="str">
        <f>"PH"&amp;MID(G367,IFERROR(FIND("PH-",G367)+3,IFERROR(FIND("ph-",G367)+3,IFERROR(FIND("PH",G367)+2,IFERROR(FIND("ph",G367)+2,0)))),3)</f>
        <v>PHBHM</v>
      </c>
      <c r="I367" t="str">
        <f>H367&amp;"_"&amp;E367</f>
        <v>PHBHM_45376</v>
      </c>
    </row>
    <row r="368" spans="1:9" x14ac:dyDescent="0.3">
      <c r="A368" s="2" t="s">
        <v>56</v>
      </c>
      <c r="B368" s="2">
        <v>809</v>
      </c>
      <c r="C368" s="2" t="s">
        <v>194</v>
      </c>
      <c r="D368" s="3">
        <v>45377</v>
      </c>
      <c r="E368" s="3">
        <v>45377</v>
      </c>
      <c r="F368" s="2" t="s">
        <v>58</v>
      </c>
      <c r="G368" s="2" t="s">
        <v>122</v>
      </c>
      <c r="H368" t="str">
        <f>"PH"&amp;MID(G368,IFERROR(FIND("PH-",G368)+3,IFERROR(FIND("ph-",G368)+3,IFERROR(FIND("PH",G368)+2,IFERROR(FIND("ph",G368)+2,0)))),3)</f>
        <v>PHBHM</v>
      </c>
      <c r="I368" t="str">
        <f>H368&amp;"_"&amp;E368</f>
        <v>PHBHM_45377</v>
      </c>
    </row>
    <row r="369" spans="1:9" x14ac:dyDescent="0.3">
      <c r="A369" s="2" t="s">
        <v>56</v>
      </c>
      <c r="B369" s="2">
        <v>417</v>
      </c>
      <c r="C369" s="2" t="s">
        <v>57</v>
      </c>
      <c r="D369" s="3">
        <v>45377</v>
      </c>
      <c r="E369" s="3">
        <v>45377</v>
      </c>
      <c r="F369" s="2" t="s">
        <v>58</v>
      </c>
      <c r="G369" s="2" t="s">
        <v>224</v>
      </c>
      <c r="H369" t="str">
        <f>"PH"&amp;MID(G369,IFERROR(FIND("PH-",G369)+3,IFERROR(FIND("ph-",G369)+3,IFERROR(FIND("PH",G369)+2,IFERROR(FIND("ph",G369)+2,0)))),3)</f>
        <v>PHAOD</v>
      </c>
      <c r="I369" t="str">
        <f>H369&amp;"_"&amp;E369</f>
        <v>PHAOD_45377</v>
      </c>
    </row>
    <row r="370" spans="1:9" x14ac:dyDescent="0.3">
      <c r="A370" s="2" t="s">
        <v>56</v>
      </c>
      <c r="B370" s="2">
        <v>651</v>
      </c>
      <c r="C370" s="2" t="s">
        <v>128</v>
      </c>
      <c r="D370" s="3">
        <v>45377</v>
      </c>
      <c r="E370" s="3">
        <v>45377</v>
      </c>
      <c r="F370" s="2" t="s">
        <v>58</v>
      </c>
      <c r="G370" s="2" t="s">
        <v>73</v>
      </c>
      <c r="H370" t="str">
        <f>"PH"&amp;MID(G370,IFERROR(FIND("PH-",G370)+3,IFERROR(FIND("ph-",G370)+3,IFERROR(FIND("PH",G370)+2,IFERROR(FIND("ph",G370)+2,0)))),3)</f>
        <v>PHAOD</v>
      </c>
      <c r="I370" t="str">
        <f>H370&amp;"_"&amp;E370</f>
        <v>PHAOD_45377</v>
      </c>
    </row>
    <row r="371" spans="1:9" x14ac:dyDescent="0.3">
      <c r="A371" s="2" t="s">
        <v>56</v>
      </c>
      <c r="B371" s="2">
        <v>701</v>
      </c>
      <c r="C371" s="2" t="s">
        <v>173</v>
      </c>
      <c r="D371" s="3">
        <v>45377</v>
      </c>
      <c r="E371" s="3">
        <v>45377</v>
      </c>
      <c r="F371" s="2" t="s">
        <v>58</v>
      </c>
      <c r="G371" s="2" t="s">
        <v>95</v>
      </c>
      <c r="H371" t="str">
        <f>"PH"&amp;MID(G371,IFERROR(FIND("PH-",G371)+3,IFERROR(FIND("ph-",G371)+3,IFERROR(FIND("PH",G371)+2,IFERROR(FIND("ph",G371)+2,0)))),3)</f>
        <v>PHBHI</v>
      </c>
      <c r="I371" t="str">
        <f>H371&amp;"_"&amp;E371</f>
        <v>PHBHI_45377</v>
      </c>
    </row>
    <row r="372" spans="1:9" x14ac:dyDescent="0.3">
      <c r="A372" s="2" t="s">
        <v>56</v>
      </c>
      <c r="B372" s="2">
        <v>807</v>
      </c>
      <c r="C372" s="2" t="s">
        <v>193</v>
      </c>
      <c r="D372" s="3">
        <v>45377</v>
      </c>
      <c r="E372" s="3">
        <v>45377</v>
      </c>
      <c r="F372" s="2" t="s">
        <v>58</v>
      </c>
      <c r="G372" s="2" t="s">
        <v>95</v>
      </c>
      <c r="H372" t="str">
        <f>"PH"&amp;MID(G372,IFERROR(FIND("PH-",G372)+3,IFERROR(FIND("ph-",G372)+3,IFERROR(FIND("PH",G372)+2,IFERROR(FIND("ph",G372)+2,0)))),3)</f>
        <v>PHBHI</v>
      </c>
      <c r="I372" t="str">
        <f>H372&amp;"_"&amp;E372</f>
        <v>PHBHI_45377</v>
      </c>
    </row>
    <row r="373" spans="1:9" x14ac:dyDescent="0.3">
      <c r="A373" s="2" t="s">
        <v>56</v>
      </c>
      <c r="B373" s="2">
        <v>423</v>
      </c>
      <c r="C373" s="2" t="s">
        <v>61</v>
      </c>
      <c r="D373" s="3">
        <v>45378</v>
      </c>
      <c r="E373" s="3">
        <v>45378</v>
      </c>
      <c r="F373" s="2" t="s">
        <v>58</v>
      </c>
      <c r="G373" s="2" t="s">
        <v>215</v>
      </c>
      <c r="H373" t="str">
        <f>"PH"&amp;MID(G373,IFERROR(FIND("PH-",G373)+3,IFERROR(FIND("ph-",G373)+3,IFERROR(FIND("PH",G373)+2,IFERROR(FIND("ph",G373)+2,0)))),3)</f>
        <v>PHAOD</v>
      </c>
      <c r="I373" t="str">
        <f>H373&amp;"_"&amp;E373</f>
        <v>PHAOD_45378</v>
      </c>
    </row>
    <row r="374" spans="1:9" x14ac:dyDescent="0.3">
      <c r="A374" s="2" t="s">
        <v>56</v>
      </c>
      <c r="B374" s="2">
        <v>651</v>
      </c>
      <c r="C374" s="2" t="s">
        <v>128</v>
      </c>
      <c r="D374" s="3">
        <v>45378</v>
      </c>
      <c r="E374" s="3">
        <v>45378</v>
      </c>
      <c r="F374" s="2" t="s">
        <v>58</v>
      </c>
      <c r="G374" s="2" t="s">
        <v>215</v>
      </c>
      <c r="H374" t="str">
        <f>"PH"&amp;MID(G374,IFERROR(FIND("PH-",G374)+3,IFERROR(FIND("ph-",G374)+3,IFERROR(FIND("PH",G374)+2,IFERROR(FIND("ph",G374)+2,0)))),3)</f>
        <v>PHAOD</v>
      </c>
      <c r="I374" t="str">
        <f>H374&amp;"_"&amp;E374</f>
        <v>PHAOD_45378</v>
      </c>
    </row>
    <row r="375" spans="1:9" x14ac:dyDescent="0.3">
      <c r="A375" s="2" t="s">
        <v>56</v>
      </c>
      <c r="B375" s="2">
        <v>635</v>
      </c>
      <c r="C375" s="2" t="s">
        <v>91</v>
      </c>
      <c r="D375" s="3">
        <v>45379</v>
      </c>
      <c r="E375" s="3">
        <v>45379</v>
      </c>
      <c r="F375" s="2" t="s">
        <v>58</v>
      </c>
      <c r="G375" s="2" t="s">
        <v>95</v>
      </c>
      <c r="H375" t="str">
        <f>"PH"&amp;MID(G375,IFERROR(FIND("PH-",G375)+3,IFERROR(FIND("ph-",G375)+3,IFERROR(FIND("PH",G375)+2,IFERROR(FIND("ph",G375)+2,0)))),3)</f>
        <v>PHBHI</v>
      </c>
      <c r="I375" t="str">
        <f>H375&amp;"_"&amp;E375</f>
        <v>PHBHI_45379</v>
      </c>
    </row>
    <row r="376" spans="1:9" x14ac:dyDescent="0.3">
      <c r="A376" s="2" t="s">
        <v>56</v>
      </c>
      <c r="B376" s="2">
        <v>651</v>
      </c>
      <c r="C376" s="2" t="s">
        <v>128</v>
      </c>
      <c r="D376" s="3">
        <v>45379</v>
      </c>
      <c r="E376" s="3">
        <v>45379</v>
      </c>
      <c r="F376" s="2" t="s">
        <v>58</v>
      </c>
      <c r="G376" s="2" t="s">
        <v>73</v>
      </c>
      <c r="H376" t="str">
        <f>"PH"&amp;MID(G376,IFERROR(FIND("PH-",G376)+3,IFERROR(FIND("ph-",G376)+3,IFERROR(FIND("PH",G376)+2,IFERROR(FIND("ph",G376)+2,0)))),3)</f>
        <v>PHAOD</v>
      </c>
      <c r="I376" t="str">
        <f>H376&amp;"_"&amp;E376</f>
        <v>PHAOD_45379</v>
      </c>
    </row>
    <row r="377" spans="1:9" x14ac:dyDescent="0.3">
      <c r="A377" s="2" t="s">
        <v>56</v>
      </c>
      <c r="B377" s="2">
        <v>685</v>
      </c>
      <c r="C377" s="2" t="s">
        <v>146</v>
      </c>
      <c r="D377" s="3">
        <v>45379</v>
      </c>
      <c r="E377" s="3">
        <v>45379</v>
      </c>
      <c r="F377" s="2" t="s">
        <v>58</v>
      </c>
      <c r="G377" s="2" t="s">
        <v>122</v>
      </c>
      <c r="H377" t="str">
        <f>"PH"&amp;MID(G377,IFERROR(FIND("PH-",G377)+3,IFERROR(FIND("ph-",G377)+3,IFERROR(FIND("PH",G377)+2,IFERROR(FIND("ph",G377)+2,0)))),3)</f>
        <v>PHBHM</v>
      </c>
      <c r="I377" t="str">
        <f>H377&amp;"_"&amp;E377</f>
        <v>PHBHM_45379</v>
      </c>
    </row>
    <row r="378" spans="1:9" x14ac:dyDescent="0.3">
      <c r="A378" s="2" t="s">
        <v>56</v>
      </c>
      <c r="B378" s="2">
        <v>651</v>
      </c>
      <c r="C378" s="2" t="s">
        <v>128</v>
      </c>
      <c r="D378" s="3">
        <v>45380</v>
      </c>
      <c r="E378" s="3">
        <v>45380</v>
      </c>
      <c r="F378" s="2" t="s">
        <v>58</v>
      </c>
      <c r="G378" s="2" t="s">
        <v>130</v>
      </c>
      <c r="H378" t="str">
        <f>"PH"&amp;MID(G378,IFERROR(FIND("PH-",G378)+3,IFERROR(FIND("ph-",G378)+3,IFERROR(FIND("PH",G378)+2,IFERROR(FIND("ph",G378)+2,0)))),3)</f>
        <v>PHAOD</v>
      </c>
      <c r="I378" t="str">
        <f>H378&amp;"_"&amp;E378</f>
        <v>PHAOD_45380</v>
      </c>
    </row>
    <row r="379" spans="1:9" x14ac:dyDescent="0.3">
      <c r="A379" s="2" t="s">
        <v>56</v>
      </c>
      <c r="B379" s="2">
        <v>685</v>
      </c>
      <c r="C379" s="2" t="s">
        <v>146</v>
      </c>
      <c r="D379" s="3">
        <v>45380</v>
      </c>
      <c r="E379" s="3">
        <v>45380</v>
      </c>
      <c r="F379" s="2" t="s">
        <v>58</v>
      </c>
      <c r="G379" s="2" t="s">
        <v>166</v>
      </c>
      <c r="H379" t="str">
        <f>"PH"&amp;MID(G379,IFERROR(FIND("PH-",G379)+3,IFERROR(FIND("ph-",G379)+3,IFERROR(FIND("PH",G379)+2,IFERROR(FIND("ph",G379)+2,0)))),3)</f>
        <v>PHBHI</v>
      </c>
      <c r="I379" t="str">
        <f>H379&amp;"_"&amp;E379</f>
        <v>PHBHI_45380</v>
      </c>
    </row>
    <row r="380" spans="1:9" x14ac:dyDescent="0.3">
      <c r="A380" s="2" t="s">
        <v>56</v>
      </c>
      <c r="B380" s="2">
        <v>617</v>
      </c>
      <c r="C380" s="2" t="s">
        <v>82</v>
      </c>
      <c r="D380" s="3">
        <v>45380</v>
      </c>
      <c r="E380" s="3">
        <v>45380</v>
      </c>
      <c r="F380" s="2" t="s">
        <v>58</v>
      </c>
      <c r="G380" s="2" t="s">
        <v>122</v>
      </c>
      <c r="H380" t="str">
        <f>"PH"&amp;MID(G380,IFERROR(FIND("PH-",G380)+3,IFERROR(FIND("ph-",G380)+3,IFERROR(FIND("PH",G380)+2,IFERROR(FIND("ph",G380)+2,0)))),3)</f>
        <v>PHBHM</v>
      </c>
      <c r="I380" t="str">
        <f>H380&amp;"_"&amp;E380</f>
        <v>PHBHM_45380</v>
      </c>
    </row>
    <row r="381" spans="1:9" x14ac:dyDescent="0.3">
      <c r="A381" s="2" t="s">
        <v>56</v>
      </c>
      <c r="B381" s="2">
        <v>627</v>
      </c>
      <c r="C381" s="2" t="s">
        <v>89</v>
      </c>
      <c r="D381" s="3">
        <v>45380</v>
      </c>
      <c r="E381" s="3">
        <v>45380</v>
      </c>
      <c r="F381" s="2" t="s">
        <v>58</v>
      </c>
      <c r="G381" s="2" t="s">
        <v>73</v>
      </c>
      <c r="H381" t="str">
        <f>"PH"&amp;MID(G381,IFERROR(FIND("PH-",G381)+3,IFERROR(FIND("ph-",G381)+3,IFERROR(FIND("PH",G381)+2,IFERROR(FIND("ph",G381)+2,0)))),3)</f>
        <v>PHAOD</v>
      </c>
      <c r="I381" t="str">
        <f>H381&amp;"_"&amp;E381</f>
        <v>PHAOD_45380</v>
      </c>
    </row>
    <row r="382" spans="1:9" x14ac:dyDescent="0.3">
      <c r="A382" s="2" t="s">
        <v>56</v>
      </c>
      <c r="B382" s="2">
        <v>895</v>
      </c>
      <c r="C382" s="2" t="s">
        <v>213</v>
      </c>
      <c r="D382" s="3">
        <v>45380</v>
      </c>
      <c r="E382" s="3">
        <v>45380</v>
      </c>
      <c r="F382" s="2" t="s">
        <v>58</v>
      </c>
      <c r="G382" s="2" t="s">
        <v>289</v>
      </c>
      <c r="H382" t="str">
        <f>"PH"&amp;MID(G382,IFERROR(FIND("PH-",G382)+3,IFERROR(FIND("ph-",G382)+3,IFERROR(FIND("PH",G382)+2,IFERROR(FIND("ph",G382)+2,0)))),3)</f>
        <v>PHBVV</v>
      </c>
      <c r="I382" t="str">
        <f>H382&amp;"_"&amp;E382</f>
        <v>PHBVV_45380</v>
      </c>
    </row>
    <row r="383" spans="1:9" x14ac:dyDescent="0.3">
      <c r="A383" s="2" t="s">
        <v>56</v>
      </c>
      <c r="B383" s="2">
        <v>675</v>
      </c>
      <c r="C383" s="2" t="s">
        <v>138</v>
      </c>
      <c r="D383" s="3">
        <v>45381</v>
      </c>
      <c r="E383" s="3">
        <v>45381</v>
      </c>
      <c r="F383" s="2" t="s">
        <v>58</v>
      </c>
      <c r="G383" s="2" t="s">
        <v>139</v>
      </c>
      <c r="H383" t="str">
        <f>"PH"&amp;MID(G383,IFERROR(FIND("PH-",G383)+3,IFERROR(FIND("ph-",G383)+3,IFERROR(FIND("PH",G383)+2,IFERROR(FIND("ph",G383)+2,0)))),3)</f>
        <v>PHBQF</v>
      </c>
      <c r="I383" t="str">
        <f>H383&amp;"_"&amp;E383</f>
        <v>PHBQF_45381</v>
      </c>
    </row>
    <row r="384" spans="1:9" x14ac:dyDescent="0.3">
      <c r="A384" s="2" t="s">
        <v>56</v>
      </c>
      <c r="B384" s="2">
        <v>651</v>
      </c>
      <c r="C384" s="2" t="s">
        <v>128</v>
      </c>
      <c r="D384" s="3">
        <v>45381</v>
      </c>
      <c r="E384" s="3">
        <v>45381</v>
      </c>
      <c r="F384" s="2" t="s">
        <v>58</v>
      </c>
      <c r="G384" s="2" t="s">
        <v>130</v>
      </c>
      <c r="H384" t="str">
        <f>"PH"&amp;MID(G384,IFERROR(FIND("PH-",G384)+3,IFERROR(FIND("ph-",G384)+3,IFERROR(FIND("PH",G384)+2,IFERROR(FIND("ph",G384)+2,0)))),3)</f>
        <v>PHAOD</v>
      </c>
      <c r="I384" t="str">
        <f>H384&amp;"_"&amp;E384</f>
        <v>PHAOD_45381</v>
      </c>
    </row>
    <row r="385" spans="1:9" x14ac:dyDescent="0.3">
      <c r="A385" s="2" t="s">
        <v>56</v>
      </c>
      <c r="B385" s="2">
        <v>701</v>
      </c>
      <c r="C385" s="2" t="s">
        <v>173</v>
      </c>
      <c r="D385" s="3">
        <v>45381</v>
      </c>
      <c r="E385" s="3">
        <v>45381</v>
      </c>
      <c r="F385" s="2" t="s">
        <v>58</v>
      </c>
      <c r="G385" s="2" t="s">
        <v>95</v>
      </c>
      <c r="H385" t="str">
        <f>"PH"&amp;MID(G385,IFERROR(FIND("PH-",G385)+3,IFERROR(FIND("ph-",G385)+3,IFERROR(FIND("PH",G385)+2,IFERROR(FIND("ph",G385)+2,0)))),3)</f>
        <v>PHBHI</v>
      </c>
      <c r="I385" t="str">
        <f>H385&amp;"_"&amp;E385</f>
        <v>PHBHI_45381</v>
      </c>
    </row>
    <row r="386" spans="1:9" x14ac:dyDescent="0.3">
      <c r="A386" s="2" t="s">
        <v>56</v>
      </c>
      <c r="B386" s="2">
        <v>895</v>
      </c>
      <c r="C386" s="2" t="s">
        <v>213</v>
      </c>
      <c r="D386" s="3">
        <v>45381</v>
      </c>
      <c r="E386" s="3">
        <v>45381</v>
      </c>
      <c r="F386" s="2" t="s">
        <v>58</v>
      </c>
      <c r="G386" s="2" t="s">
        <v>267</v>
      </c>
      <c r="H386" t="str">
        <f>"PH"&amp;MID(G386,IFERROR(FIND("PH-",G386)+3,IFERROR(FIND("ph-",G386)+3,IFERROR(FIND("PH",G386)+2,IFERROR(FIND("ph",G386)+2,0)))),3)</f>
        <v>PHBQF</v>
      </c>
      <c r="I386" t="str">
        <f>H386&amp;"_"&amp;E386</f>
        <v>PHBQF_45381</v>
      </c>
    </row>
    <row r="387" spans="1:9" x14ac:dyDescent="0.3">
      <c r="A387" s="2" t="s">
        <v>56</v>
      </c>
      <c r="B387" s="2">
        <v>765</v>
      </c>
      <c r="C387" s="2" t="s">
        <v>190</v>
      </c>
      <c r="D387" s="3">
        <v>45381</v>
      </c>
      <c r="E387" s="3">
        <v>45381</v>
      </c>
      <c r="F387" s="2" t="s">
        <v>58</v>
      </c>
      <c r="G387" s="2" t="s">
        <v>278</v>
      </c>
      <c r="H387" t="str">
        <f>"PH"&amp;MID(G387,IFERROR(FIND("PH-",G387)+3,IFERROR(FIND("ph-",G387)+3,IFERROR(FIND("PH",G387)+2,IFERROR(FIND("ph",G387)+2,0)))),3)</f>
        <v>PHAOD</v>
      </c>
      <c r="I387" t="str">
        <f>H387&amp;"_"&amp;E387</f>
        <v>PHAOD_45381</v>
      </c>
    </row>
    <row r="388" spans="1:9" x14ac:dyDescent="0.3">
      <c r="A388" s="2" t="s">
        <v>56</v>
      </c>
      <c r="B388" s="2">
        <v>713</v>
      </c>
      <c r="C388" s="2" t="s">
        <v>179</v>
      </c>
      <c r="D388" s="3">
        <v>45382</v>
      </c>
      <c r="E388" s="3">
        <v>45382</v>
      </c>
      <c r="F388" s="2" t="s">
        <v>58</v>
      </c>
      <c r="G388" s="2" t="s">
        <v>181</v>
      </c>
      <c r="H388" t="str">
        <f>"PH"&amp;MID(G388,IFERROR(FIND("PH-",G388)+3,IFERROR(FIND("ph-",G388)+3,IFERROR(FIND("PH",G388)+2,IFERROR(FIND("ph",G388)+2,0)))),3)</f>
        <v>PHBVV</v>
      </c>
      <c r="I388" t="str">
        <f>H388&amp;"_"&amp;E388</f>
        <v>PHBVV_45382</v>
      </c>
    </row>
    <row r="389" spans="1:9" x14ac:dyDescent="0.3">
      <c r="A389" s="2" t="s">
        <v>56</v>
      </c>
      <c r="B389" s="2">
        <v>809</v>
      </c>
      <c r="C389" s="2" t="s">
        <v>194</v>
      </c>
      <c r="D389" s="3">
        <v>45382</v>
      </c>
      <c r="E389" s="3">
        <v>45382</v>
      </c>
      <c r="F389" s="2" t="s">
        <v>58</v>
      </c>
      <c r="G389" s="2" t="s">
        <v>95</v>
      </c>
      <c r="H389" t="str">
        <f>"PH"&amp;MID(G389,IFERROR(FIND("PH-",G389)+3,IFERROR(FIND("ph-",G389)+3,IFERROR(FIND("PH",G389)+2,IFERROR(FIND("ph",G389)+2,0)))),3)</f>
        <v>PHBHI</v>
      </c>
      <c r="I389" t="str">
        <f>H389&amp;"_"&amp;E389</f>
        <v>PHBHI_45382</v>
      </c>
    </row>
    <row r="390" spans="1:9" x14ac:dyDescent="0.3">
      <c r="A390" s="2" t="s">
        <v>56</v>
      </c>
      <c r="B390" s="2">
        <v>427</v>
      </c>
      <c r="C390" s="2" t="s">
        <v>63</v>
      </c>
      <c r="D390" s="3">
        <v>45382</v>
      </c>
      <c r="E390" s="3">
        <v>45382</v>
      </c>
      <c r="F390" s="2" t="s">
        <v>58</v>
      </c>
      <c r="G390" s="2" t="s">
        <v>139</v>
      </c>
      <c r="H390" t="str">
        <f>"PH"&amp;MID(G390,IFERROR(FIND("PH-",G390)+3,IFERROR(FIND("ph-",G390)+3,IFERROR(FIND("PH",G390)+2,IFERROR(FIND("ph",G390)+2,0)))),3)</f>
        <v>PHBQF</v>
      </c>
      <c r="I390" t="str">
        <f>H390&amp;"_"&amp;E390</f>
        <v>PHBQF_45382</v>
      </c>
    </row>
    <row r="391" spans="1:9" x14ac:dyDescent="0.3">
      <c r="A391" s="2" t="s">
        <v>56</v>
      </c>
      <c r="B391" s="2">
        <v>671</v>
      </c>
      <c r="C391" s="2" t="s">
        <v>136</v>
      </c>
      <c r="D391" s="3">
        <v>45382</v>
      </c>
      <c r="E391" s="3">
        <v>45382</v>
      </c>
      <c r="F391" s="2" t="s">
        <v>58</v>
      </c>
      <c r="G391" s="2" t="s">
        <v>130</v>
      </c>
      <c r="H391" t="str">
        <f>"PH"&amp;MID(G391,IFERROR(FIND("PH-",G391)+3,IFERROR(FIND("ph-",G391)+3,IFERROR(FIND("PH",G391)+2,IFERROR(FIND("ph",G391)+2,0)))),3)</f>
        <v>PHAOD</v>
      </c>
      <c r="I391" t="str">
        <f>H391&amp;"_"&amp;E391</f>
        <v>PHAOD_45382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Schwirtz, Olivier (SPLFF) - KLM</cp:lastModifiedBy>
  <cp:revision/>
  <dcterms:created xsi:type="dcterms:W3CDTF">2024-07-29T09:38:35Z</dcterms:created>
  <dcterms:modified xsi:type="dcterms:W3CDTF">2024-07-29T13:17:50Z</dcterms:modified>
  <cp:category/>
  <cp:contentStatus/>
</cp:coreProperties>
</file>